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ha.ramadan\Downloads\"/>
    </mc:Choice>
  </mc:AlternateContent>
  <bookViews>
    <workbookView xWindow="0" yWindow="0" windowWidth="20490" windowHeight="8910" tabRatio="500" activeTab="3"/>
  </bookViews>
  <sheets>
    <sheet name="Scenarios" sheetId="7" r:id="rId1"/>
    <sheet name="Extraction" sheetId="2" r:id="rId2"/>
    <sheet name="Reasoning" sheetId="3" r:id="rId3"/>
    <sheet name="Summary" sheetId="5" r:id="rId4"/>
    <sheet name="Charts" sheetId="1" r:id="rId5"/>
  </sheets>
  <definedNames>
    <definedName name="_xlnm._FilterDatabase" localSheetId="1" hidden="1">Extraction!$C$1:$C$128</definedName>
    <definedName name="_xlnm._FilterDatabase" localSheetId="2" hidden="1">Reasoning!$A$1:$H$17</definedName>
    <definedName name="_xlnm._FilterDatabase" localSheetId="3" hidden="1">Summary!$A$1:$G$49</definedName>
  </definedNames>
  <calcPr calcId="162913"/>
  <extLst>
    <ext xmlns:loext="http://schemas.libreoffice.org/" uri="{7626C862-2A13-11E5-B345-FEFF819CDC9F}">
      <loext:extCalcPr stringRefSyntax="ExcelA1"/>
    </ext>
  </extLst>
</workbook>
</file>

<file path=xl/calcChain.xml><?xml version="1.0" encoding="utf-8"?>
<calcChain xmlns="http://schemas.openxmlformats.org/spreadsheetml/2006/main">
  <c r="D33" i="1" l="1"/>
  <c r="C33" i="1"/>
  <c r="B33" i="1"/>
  <c r="D32" i="1"/>
  <c r="C32" i="1"/>
  <c r="B32" i="1"/>
  <c r="D31" i="1"/>
  <c r="C31" i="1"/>
  <c r="B31" i="1"/>
  <c r="D30" i="1"/>
  <c r="C30" i="1"/>
  <c r="B30" i="1"/>
  <c r="D9" i="1"/>
  <c r="C9" i="1"/>
  <c r="B9" i="1"/>
  <c r="D8" i="1"/>
  <c r="C8" i="1"/>
  <c r="B8" i="1"/>
  <c r="D7" i="1"/>
  <c r="C7" i="1"/>
  <c r="B7" i="1"/>
  <c r="D6" i="1"/>
  <c r="C6" i="1"/>
  <c r="B6" i="1"/>
</calcChain>
</file>

<file path=xl/sharedStrings.xml><?xml version="1.0" encoding="utf-8"?>
<sst xmlns="http://schemas.openxmlformats.org/spreadsheetml/2006/main" count="1255" uniqueCount="451">
  <si>
    <t>Model Comparison – Charts</t>
  </si>
  <si>
    <t>Charts read live from the Summary, Extraction and Reasoning tabs. Latency and cost are averages across the 6 scenarios (per call). Output coverage = share of fields with a reference (Expected) value where the model returned a non-empty answer; it measures completeness, not correctness.</t>
  </si>
  <si>
    <t>Extraction stage</t>
  </si>
  <si>
    <t>Model</t>
  </si>
  <si>
    <t>Avg latency (sec)</t>
  </si>
  <si>
    <t>Avg cost per call (USD)</t>
  </si>
  <si>
    <t>Output coverage (%)</t>
  </si>
  <si>
    <t>GPT 4o mini</t>
  </si>
  <si>
    <t>GPT 5.6 Luna</t>
  </si>
  <si>
    <t>GLM 5.3 Flash</t>
  </si>
  <si>
    <t>Claude Sonnet 5.5</t>
  </si>
  <si>
    <t>Reasoning stage</t>
  </si>
  <si>
    <t>Claude Opus 5</t>
  </si>
  <si>
    <t>Gemini 3.7 Flash</t>
  </si>
  <si>
    <t>Scenario</t>
  </si>
  <si>
    <t>Department</t>
  </si>
  <si>
    <t>Field</t>
  </si>
  <si>
    <t>Expected</t>
  </si>
  <si>
    <t>ER-1</t>
  </si>
  <si>
    <t>ER</t>
  </si>
  <si>
    <t>Airway</t>
  </si>
  <si>
    <t>Patent</t>
  </si>
  <si>
    <t>Breathing</t>
  </si>
  <si>
    <t>Spontaneous breathing</t>
  </si>
  <si>
    <t>Spontaneous, shortness of breath noted</t>
  </si>
  <si>
    <t>Circulation</t>
  </si>
  <si>
    <t>Hemodynamically stabl</t>
  </si>
  <si>
    <t>Vitals were okay</t>
  </si>
  <si>
    <t>Vitals were reported as okay</t>
  </si>
  <si>
    <t>Disability</t>
  </si>
  <si>
    <t>No neurological abnormality reported</t>
  </si>
  <si>
    <t>Exposure</t>
  </si>
  <si>
    <t>No significant abnormality reported.</t>
  </si>
  <si>
    <t>Allergy Status</t>
  </si>
  <si>
    <t>No Known Allergies</t>
  </si>
  <si>
    <t>Chief Complaint</t>
  </si>
  <si>
    <t>Epigastric pain associated with dyspnea and shortness of breath.</t>
  </si>
  <si>
    <t>Gastric pain and dyspnea and shortness of breath</t>
  </si>
  <si>
    <t>Gastric pain, dyspnea, and shortness of breath</t>
  </si>
  <si>
    <t>Course</t>
  </si>
  <si>
    <t>Not specified.</t>
  </si>
  <si>
    <t>Discharge Instructions</t>
  </si>
  <si>
    <t>To be determined following completion of cardiac evaluation and if the patient is subsequently deemed suitable for discharge.</t>
  </si>
  <si>
    <t>If all turned out to be okay, he will be discharged</t>
  </si>
  <si>
    <t>Conditional discharge if serial troponins and echocardiogram are normal</t>
  </si>
  <si>
    <t>Not applicable due to admission</t>
  </si>
  <si>
    <t>Duration</t>
  </si>
  <si>
    <t>Examination</t>
  </si>
  <si>
    <t>Vital signs within acceptable range. No other significant examination abnormalities reported. ECG: No acute abnormality detected. Troponin: Mildly elevated.</t>
  </si>
  <si>
    <t>Vitals reported as okay</t>
  </si>
  <si>
    <t>Family History</t>
  </si>
  <si>
    <t>ICD-10 Codes</t>
  </si>
  <si>
    <t>Acute coronary syndrome, including unstable angina/NSTEMI. Gastroesophageal or other upper gastrointestinal cause.</t>
  </si>
  <si>
    <t>Investigations</t>
  </si>
  <si>
    <t>Slightly elevated troponin, normal ECG</t>
  </si>
  <si>
    <t>Slightly elevated troponin; ECG normal</t>
  </si>
  <si>
    <t>Slightly elevated troponin. ECG normal. Echocardiogram pending.</t>
  </si>
  <si>
    <t>Medication History</t>
  </si>
  <si>
    <t>No Medication History</t>
  </si>
  <si>
    <t>Onset</t>
  </si>
  <si>
    <t>Past Medical History</t>
  </si>
  <si>
    <t>Diabetes mellitus. Pre-hypertension.</t>
  </si>
  <si>
    <t>Diabetes and pre-hypertension</t>
  </si>
  <si>
    <t>Past Surgical History</t>
  </si>
  <si>
    <t>No past surgical history.</t>
  </si>
  <si>
    <t>No Past Surgical History</t>
  </si>
  <si>
    <t>Patient Disposition</t>
  </si>
  <si>
    <t>Admitted to CCU</t>
  </si>
  <si>
    <t>Planned admission to the CCU for serial troponins and echocardiogram</t>
  </si>
  <si>
    <t>Plan of Care</t>
  </si>
  <si>
    <t>Admit to CCU for observation and serial troponin measurements. Echocardiography to be performed. Further management according to serial cardiac biomarkers, echocardiographic findings, and cardiology assessment.</t>
  </si>
  <si>
    <t>Series of troponin in the CCU and echocardiogram</t>
  </si>
  <si>
    <t>Admission/monitoring in the CCU with serial troponin testing and echocardiogram; discharge if results are normal</t>
  </si>
  <si>
    <t>Serial troponin monitoring in the CCU and echocardiogram</t>
  </si>
  <si>
    <t>Requested Consultation</t>
  </si>
  <si>
    <t>Sick Leave</t>
  </si>
  <si>
    <t>2 days, if discharged after completion of evaluation.</t>
  </si>
  <si>
    <t>Two days</t>
  </si>
  <si>
    <t>Two days planned if discharged</t>
  </si>
  <si>
    <t>Not applicable</t>
  </si>
  <si>
    <t>Social History</t>
  </si>
  <si>
    <t>Smoker</t>
  </si>
  <si>
    <t>ER-2</t>
  </si>
  <si>
    <t>Drowsy</t>
  </si>
  <si>
    <t>No acute respiratory abnormality reported</t>
  </si>
  <si>
    <t>Pale and delirious</t>
  </si>
  <si>
    <t>Requires close hemodynamic monitoring</t>
  </si>
  <si>
    <t>Drowsy, delirious, with disturbed conscious level</t>
  </si>
  <si>
    <t>Disturbed conscious level</t>
  </si>
  <si>
    <t>Disturbed conscious level; patient drowsy, confused, and delirious</t>
  </si>
  <si>
    <t>Drowsy, disturbed conscious level</t>
  </si>
  <si>
    <t>Pale</t>
  </si>
  <si>
    <t>Decreased conscious level and confusion.</t>
  </si>
  <si>
    <t>DCL and confusion</t>
  </si>
  <si>
    <t>Disturbed conscious level, confusion, drowsiness, and delirium</t>
  </si>
  <si>
    <t>Disturbed conscious level (DCL) and confusion</t>
  </si>
  <si>
    <t>Decreased level of consciousness (DCL), confusion, drowsiness, delirium</t>
  </si>
  <si>
    <t>Persistent.</t>
  </si>
  <si>
    <t>Not applicable due to ICU admission.</t>
  </si>
  <si>
    <t>2 days.</t>
  </si>
  <si>
    <t>2 days</t>
  </si>
  <si>
    <t>Patient is drowsy, pale, delirious, and has a disturbed conscious level. Laboratory findings showed anemia with hemoglobin 8.5 g/dL, elevated TLC, metabolic acidosis, and elevated renal function tests.</t>
  </si>
  <si>
    <t>Pale, drowsy, and delirious</t>
  </si>
  <si>
    <t>Patient appeared drowsy, pale, and delirious with disturbed conscious level</t>
  </si>
  <si>
    <t>Drowsy, pale, delirious, with disturbed conscious level</t>
  </si>
  <si>
    <t>Acute kidney injury on top of chronic kidney disease. Sepsis / septic shock. Metabolic acidosis with metabolic encephalopathy.</t>
  </si>
  <si>
    <t>Anemia, hemoglobin 8.5, elevated TLC, metabolic acidosis, elevated kidney functions</t>
  </si>
  <si>
    <t>Hemoglobin 8.5, elevated total leukocyte count, metabolic acidosis, and elevated kidney function tests</t>
  </si>
  <si>
    <t>Anemia with hemoglobin 8.5, elevated TLC, metabolic acidosis, elevated kidney functions</t>
  </si>
  <si>
    <t>Anemia with hemoglobin 8.5, elevated TLC, metabolic acidosis, elevated kidney function tests</t>
  </si>
  <si>
    <t>Acute onset.</t>
  </si>
  <si>
    <t>Acute onset, 2 days ago</t>
  </si>
  <si>
    <t>Acute onset, two days ago</t>
  </si>
  <si>
    <t>Diabetes mellitus. Hypertension. Chronic kidney disease.</t>
  </si>
  <si>
    <t>Diabetes, Hypertension, Chronic Kidney Disease</t>
  </si>
  <si>
    <t>Diabetes mellitus, hypertension, and chronic kidney disease</t>
  </si>
  <si>
    <t>Diabetes mellitus, hypertension, chronic kidney disease (CKD)</t>
  </si>
  <si>
    <t>Diabetes mellitus, hypertension, chronic kidney disease</t>
  </si>
  <si>
    <t>Right hip replacement. Appendectomy.</t>
  </si>
  <si>
    <t>Right hip replacement, appendectomy</t>
  </si>
  <si>
    <t>Right hip replacement and appendectomy</t>
  </si>
  <si>
    <t>Admitted to ICU</t>
  </si>
  <si>
    <t>For admission to ICU</t>
  </si>
  <si>
    <t>For ICU admission</t>
  </si>
  <si>
    <t>ICU admission. Close monitoring of conscious level, hemodynamic status, renal function, and acid-base status. Further infectious and metabolic workup. ICU consultant review. Infectious disease consultation for further evaluation and management.</t>
  </si>
  <si>
    <t>For ICU and infectious confology for further workup</t>
  </si>
  <si>
    <t>Admission to ICU and further workup</t>
  </si>
  <si>
    <t>Further workup; ICU admission planned</t>
  </si>
  <si>
    <t>ICU admission for further workup</t>
  </si>
  <si>
    <t>Infectious Disease</t>
  </si>
  <si>
    <t>Infectious Disease consultation</t>
  </si>
  <si>
    <t>Infectious disease</t>
  </si>
  <si>
    <t>Not applicable.</t>
  </si>
  <si>
    <t>OPD-1</t>
  </si>
  <si>
    <t>OPD</t>
  </si>
  <si>
    <t>No known drug allergies</t>
  </si>
  <si>
    <t>increased thirst, frequent urination, fatigue, and occasional blurred vision.</t>
  </si>
  <si>
    <t>Increased thirst, frequent urination, fatigue, and occasional blurred vision</t>
  </si>
  <si>
    <t>Increased thirst, frequent urination, fatigue, and occasional blurred vision (denies fever, dysuria, chest pain, shortness of breath, or vomiting)</t>
  </si>
  <si>
    <t>Increased thirst, frequent urination, fatigue, and occasional blurred vision. Denies fever, dysuria, chest pain, shortness of breath, vomiting.</t>
  </si>
  <si>
    <t>Comorbidities</t>
  </si>
  <si>
    <t>DM, hypertension</t>
  </si>
  <si>
    <t>Hypertension</t>
  </si>
  <si>
    <t>Type 2 diabetes mellitus for 8 years; hypertension for 5 years</t>
  </si>
  <si>
    <t>Type 2 diabetes mellitus (8 years); hypertension (5 years)</t>
  </si>
  <si>
    <t>progressive</t>
  </si>
  <si>
    <t>Progressively worsening</t>
  </si>
  <si>
    <t>Gradually progressive</t>
  </si>
  <si>
    <t>3 weeks</t>
  </si>
  <si>
    <t>Examination Finding</t>
  </si>
  <si>
    <t>Vitals + general/CVS/respiratory/abdominal + foot findings</t>
  </si>
  <si>
    <t>BP 148/92 mmHg, pulse 82/min, alert and oriented, no edema or active foot ulcer, otherwise unremarkable examination</t>
  </si>
  <si>
    <t>Alert and oriented; BP 148/92 mmHg; pulse 82/min; no edema or active foot ulcer; cardiovascular, respiratory, and abdominal examinations otherwise unremarkable</t>
  </si>
  <si>
    <t>Alert and oriented; BP 148/92 mmHg; pulse 82/min; no edema; no active foot ulcer; cardiovascular, respiratory, and abdominal examinations otherwise unremarkable</t>
  </si>
  <si>
    <t>Alert and oriented. BP 148/92 mmHg, pulse 82/min. No edema or active foot ulcer. Cardiovascular, respiratory, and abdominal examination otherwise unremarkable.</t>
  </si>
  <si>
    <t>Follow Up Timing</t>
  </si>
  <si>
    <t>2 weeks</t>
  </si>
  <si>
    <t>In 2 weeks</t>
  </si>
  <si>
    <t>Follow up in 2 weeks to review results and treatment response</t>
  </si>
  <si>
    <t>2 weeks, to review results and treatment response</t>
  </si>
  <si>
    <t>Metformin, gliclazide, amlodipine; irregular adherence</t>
  </si>
  <si>
    <t>Metformin 1 gram twice daily, gliclazide 60 mg once daily, amlodipine 10 mg once daily</t>
  </si>
  <si>
    <t>Metformin 1 gram twice daily, gliclazide 60 mg once daily, and amlodipine 10 mg once daily; irregular medication adherence; no regular home glucose monitoring</t>
  </si>
  <si>
    <t>Metformin 1 gram twice daily; gliclazide 60 mg once daily; amlodipine 10 mg once daily; irregular medication adherence; no regular home glucose monitoring</t>
  </si>
  <si>
    <t>Metformin 1 gram twice daily; gliclazide 60 mg once daily; amlodipine 10 mg once daily. Irregular medication adherence; no regular home glucose monitoring.</t>
  </si>
  <si>
    <t>Gradual</t>
  </si>
  <si>
    <t>Gradual, started 3 weeks ago</t>
  </si>
  <si>
    <t>Gradual onset</t>
  </si>
  <si>
    <t>Gradual onset; symptoms began 3 weeks ago</t>
  </si>
  <si>
    <t>Outcome Progress Status</t>
  </si>
  <si>
    <t>First visit; baseline established</t>
  </si>
  <si>
    <t>First visit; baseline control documented with no previous treatment outcome available</t>
  </si>
  <si>
    <t>First visit; baseline control documented, no previous treatment outcome available.</t>
  </si>
  <si>
    <t>DM/HTN; no IHD, CKD, stroke, diabetic foot disease</t>
  </si>
  <si>
    <t>Type 2 diabetes for 8 years; hypertension for 5 years</t>
  </si>
  <si>
    <t>Type 2 diabetes mellitus for 8 years; hypertension for 5 years; no known history of ischemic heart disease, kidney disease, stroke, or diabetic foot problems</t>
  </si>
  <si>
    <t>Type 2 diabetes for 8 years; hypertension for 5 years. No known history of ischemic heart disease, kidney disease, stroke, or diabetic foot problems.</t>
  </si>
  <si>
    <t>Patient Instructions</t>
  </si>
  <si>
    <t>Adherence, glucose monitoring, diet, foot care</t>
  </si>
  <si>
    <t>Reinforce medication adherence, diabetic diet, glucose monitoring and foot care</t>
  </si>
  <si>
    <t>Take medications regularly; follow a diabetic diet; monitor blood glucose at home; practice foot care</t>
  </si>
  <si>
    <t>Reinforce medication adherence, diabetic diet, home glucose monitoring, and foot care</t>
  </si>
  <si>
    <t>Improve medication adherence, follow a diabetic diet, monitor glucose regularly, and practice foot care.</t>
  </si>
  <si>
    <t>Plan is to check Investigation, review medications after results, reinforce medication adherence, diabetic diet, glucose monitoring and foot care</t>
  </si>
  <si>
    <t>Check HbA1c, glucose profile, renal function, urine ACR, lipids, LFTs, and ECG; review medications after results; reinforce medication adherence, diabetic diet, glucose monitoring and foot care</t>
  </si>
  <si>
    <t>Review medications after investigation results; reinforce medication adherence, diabetic diet, home glucose monitoring, and foot care</t>
  </si>
  <si>
    <t>Review medications after results; reinforce medication adherence, diabetic diet, glucose monitoring, and foot care; refer to dietitian and ophthalmology for retinal screening; follow-up in 2 weeks to review results and treatment response</t>
  </si>
  <si>
    <t>Check investigations and review medications after results. Reinforce medication adherence, diabetic diet, glucose monitoring, and foot care. Refer to dietitian and ophthalmology for retinal screening.</t>
  </si>
  <si>
    <t>Procedures Planned</t>
  </si>
  <si>
    <t>HbA1c, glucose, renal, UACR, lipids, LFTs, ECG</t>
  </si>
  <si>
    <t>HbA1c, glucose profile, renal function, urine ACR, lipids, LFTs, ECG</t>
  </si>
  <si>
    <t>HbA1c, glucose profile, renal function tests, urine ACR, lipid profile, liver function tests, and ECG</t>
  </si>
  <si>
    <t>HbA1c; glucose profile; renal function; urine ACR; lipids; LFTs; ECG</t>
  </si>
  <si>
    <t>Referrals</t>
  </si>
  <si>
    <t>Nutrition, ophthalmology</t>
  </si>
  <si>
    <t>Refer to dietitian and ophthalmology for retinal screening</t>
  </si>
  <si>
    <t>Dietitian and ophthalmology for retinal screening</t>
  </si>
  <si>
    <t>Dietitian; Ophthalmology for retinal screening</t>
  </si>
  <si>
    <t>Dietitian; ophthalmology for retinal screening</t>
  </si>
  <si>
    <t>Social Family History</t>
  </si>
  <si>
    <t>Non-smoker, no alcohol, high-carb diet, sedentary; father diabetic/HTN</t>
  </si>
  <si>
    <t>Non-smoker, does not drink alcohol, irregular high-carbohydrate diet, sedentary lifestyle; father was diabetic and hypertensive</t>
  </si>
  <si>
    <t>Non-smoker; does not drink alcohol; irregular high-carbohydrate diet; sedentary lifestyle; father was diabetic and hypertensive</t>
  </si>
  <si>
    <t>Non-smoker; does not drink alcohol; irregular high-carbohydrate diet; sedentary lifestyle. Father was diabetic and hypertensive.</t>
  </si>
  <si>
    <t>OPD-2</t>
  </si>
  <si>
    <t>Right knee pain</t>
  </si>
  <si>
    <t>Gradually progressive right knee pain</t>
  </si>
  <si>
    <t>Gradually progressive right knee pain, mainly medial, aggravated by walking, stairs, and squatting, with mild intermittent swelling and stiffness after prolonged sitting; denies trauma, locking, giving way, fever, or redness</t>
  </si>
  <si>
    <t>Right knee pain, mainly medial, aggravated by walking, stairs, and squatting; mild intermittent swelling; stiffness after prolonged sitting</t>
  </si>
  <si>
    <t>Diabetes, hypertension</t>
  </si>
  <si>
    <t>Diabetes mellitus for 6 years; hypertension for 3 years</t>
  </si>
  <si>
    <t>Diabetes mellitus (known diabetic for 6 years); hypertension (for 3 years)</t>
  </si>
  <si>
    <t>Diabetes (6 years); hypertension (3 years)</t>
  </si>
  <si>
    <t>Worsening over the last 3 weeks</t>
  </si>
  <si>
    <t>Progressively worsening, with increased severity over the last 3 weeks after increased physical activity</t>
  </si>
  <si>
    <t>Progressively worsening, particularly over the last 3 weeks after increased physical activity</t>
  </si>
  <si>
    <t>Gradually progressive, worsening over the last 3 weeks after increased physical activity; swelling intermittent</t>
  </si>
  <si>
    <t>2 months, worse 3 weeks</t>
  </si>
  <si>
    <t>2 months</t>
  </si>
  <si>
    <t>2 months, worsening over the last 3 weeks</t>
  </si>
  <si>
    <t>2 months, worse over the last 3 weeks</t>
  </si>
  <si>
    <t>Tenderness, swelling, ROM, stability, neurovascular status</t>
  </si>
  <si>
    <t>Mild medial joint-line tenderness, minimal swelling, painful terminal flexion, intact distal neurovascular examination</t>
  </si>
  <si>
    <t>Mild medial joint-line tenderness and minimal swelling; painful terminal flexion without significant restriction or instability; distal neurovascular examination intact</t>
  </si>
  <si>
    <t>Mild medial joint-line tenderness and minimal swelling; painful terminal flexion but no significant restriction or instability; distal neurovascular examination intact</t>
  </si>
  <si>
    <t>Mild medial joint-line tenderness and minimal swelling; painful terminal flexion; no significant restriction of movement or instability; distal neurovascular examination intact. Denies trauma, locking, giving way, fever, or redness.</t>
  </si>
  <si>
    <t>1–2 weeks</t>
  </si>
  <si>
    <t>Within 1–2 weeks to review imaging and response to treatment</t>
  </si>
  <si>
    <t>Within 1–2 weeks</t>
  </si>
  <si>
    <t>Metformin, amlodipine</t>
  </si>
  <si>
    <t>Metformin 1 gram twice daily; Amlodipine 5 mg once daily</t>
  </si>
  <si>
    <t>Metformin 1 gram twice daily; amlodipine 5 mg once daily</t>
  </si>
  <si>
    <t>Gradual, started 2 months ago</t>
  </si>
  <si>
    <t>Gradual onset, 2 months ago</t>
  </si>
  <si>
    <t>First visit; baseline pain and functional status documented with no previous treatment outcome</t>
  </si>
  <si>
    <t>DM/HTN; no previous orthopedic disease</t>
  </si>
  <si>
    <t>Diabetes for 6 years; Hypertension for 3 years</t>
  </si>
  <si>
    <t>Diabetes mellitus for 6 years; hypertension for 3 years; no previous orthopedic disease</t>
  </si>
  <si>
    <t>Diabetes mellitus (6 years); hypertension (3 years); no previous orthopedic disease</t>
  </si>
  <si>
    <t>Diabetes for 6 years; hypertension for 3 years; no previous orthopedic disease</t>
  </si>
  <si>
    <t>activity modification; advised to avoid prolonged squatting and excessive stairs and to return earlier for significant swelling, fever, or inability to bear weight</t>
  </si>
  <si>
    <t>Avoid prolonged squatting and excessive stairs; return earlier for significant swelling, fever, or inability to bear weight</t>
  </si>
  <si>
    <t>Avoid prolonged squatting and excessive stairs; do home quadriceps-strengthening exercises; return earlier for significant swelling, fever, or inability to bear weight</t>
  </si>
  <si>
    <t>Conservative treatment +.</t>
  </si>
  <si>
    <t>Weight-bearing bilateral knee X-rays, analgesia, activity modification, home quadriceps-strengthening exercises, physiotherapy referral</t>
  </si>
  <si>
    <t>Analgesia as appropriate, activity modification, and home quadriceps-strengthening exercises; consider MRI if clinically indicated</t>
  </si>
  <si>
    <t>Analgesia as appropriate, activity modification, home quadriceps-strengthening exercises; MRI to be considered if clinically indicated; follow-up to review imaging and response to treatment</t>
  </si>
  <si>
    <t>Analgesia as appropriate; activity modification; home quadriceps-strengthening exercises; physiotherapy referral; weight-bearing bilateral knee X-rays; MRI to be considered if clinically indicated</t>
  </si>
  <si>
    <t>Weight-bearing knee X-rays; MRI if indicated</t>
  </si>
  <si>
    <t>Bilateral knee X-rays</t>
  </si>
  <si>
    <t>Weight-bearing bilateral knee X-rays; MRI if clinically indicated</t>
  </si>
  <si>
    <t>Physiotherapy</t>
  </si>
  <si>
    <t>Physiotherapy referral</t>
  </si>
  <si>
    <t>Non-smoker, no alcohol, sedentary job; father with knee OA</t>
  </si>
  <si>
    <t>Non-smoker, does not drink alcohol, sedentary office job; father had knee osteoarthritis</t>
  </si>
  <si>
    <t>Non-smoker; does not drink alcohol; sedentary office job with limited physical activity; father had knee osteoarthritis</t>
  </si>
  <si>
    <t>Non-smoker, does not drink alcohol, sedentary office job with limited physical activity; father had knee osteoarthritis</t>
  </si>
  <si>
    <t>DENTAL-1</t>
  </si>
  <si>
    <t>DENTAL</t>
  </si>
  <si>
    <t>Charge Category</t>
  </si>
  <si>
    <t>Insurance</t>
  </si>
  <si>
    <t>Severe pain in lower left molar</t>
  </si>
  <si>
    <t>Severe pain in the lower left molar</t>
  </si>
  <si>
    <t>Severe spontaneous pain in the lower left molar, aggravated by hot beverages</t>
  </si>
  <si>
    <t>Severe pain in the lower left molar, spontaneous in nature and aggravated by hot beverages</t>
  </si>
  <si>
    <t>Severe pain in the lower left molar; pain is spontaneous and aggravated by hot beverages</t>
  </si>
  <si>
    <t>Complication If Present</t>
  </si>
  <si>
    <t>No</t>
  </si>
  <si>
    <t>Consent Obtained</t>
  </si>
  <si>
    <t>Verbal</t>
  </si>
  <si>
    <t>Progressively worsening over the last three days</t>
  </si>
  <si>
    <t>Progressively worsened over the last 3 days</t>
  </si>
  <si>
    <t>Progressively worsened over the last three days</t>
  </si>
  <si>
    <t>1 week</t>
  </si>
  <si>
    <t>Approximately 1 week</t>
  </si>
  <si>
    <t>Approximately one week, worse over the last three days</t>
  </si>
  <si>
    <t>Approximately 1 week, worse over the last 3 days</t>
  </si>
  <si>
    <t>Followup Timeline</t>
  </si>
  <si>
    <t>1 Week</t>
  </si>
  <si>
    <t>Irreversible pulpitis</t>
  </si>
  <si>
    <t>Internal Referral</t>
  </si>
  <si>
    <t>Yes</t>
  </si>
  <si>
    <t>Prosthodontics</t>
  </si>
  <si>
    <t>Prosthodontics for full coverage crown placement after endodontic treatment</t>
  </si>
  <si>
    <t>Yes - Prosthodontics, for full coverage crown placement after endodontic treatment completion</t>
  </si>
  <si>
    <t>Yes, Prosthodontics, for full coverage crown placement after completion of endodontic treatment</t>
  </si>
  <si>
    <t>Materials Inventory</t>
  </si>
  <si>
    <t>Sodium Hypochlorite, Calcium Hydroxide, Cavit Temporary Filling</t>
  </si>
  <si>
    <t>Sodium hypochlorite, calcium hydroxide dressing, Cavit</t>
  </si>
  <si>
    <t>Sodium hypochlorite irrigation, calcium hydroxide dressing, Cavit temporary restoration</t>
  </si>
  <si>
    <t>Canal instruments up to size 25, sodium hypochlorite (irrigant), calcium hydroxide dressing, Cavit (temporary restoration)</t>
  </si>
  <si>
    <t>Sodium hypochlorite irrigant, calcium hydroxide dressing, Cavit temporary restoration, instrumentation up to size 25</t>
  </si>
  <si>
    <t>Next Visit Tooth Number</t>
  </si>
  <si>
    <t>FDI 36</t>
  </si>
  <si>
    <t>Next Visit Treatment</t>
  </si>
  <si>
    <t>RCT Completion and Obturation</t>
  </si>
  <si>
    <t>Completion of root canal treatment</t>
  </si>
  <si>
    <t>Approximately one week ago</t>
  </si>
  <si>
    <t>Approximately 1 week ago</t>
  </si>
  <si>
    <t>Started approximately one week ago</t>
  </si>
  <si>
    <t>Controlled hypertension, on Amlodipine</t>
  </si>
  <si>
    <t>Controlled hypertension; currently taking Amlodipine</t>
  </si>
  <si>
    <t>Controlled hypertension, currently taking Amlodipine</t>
  </si>
  <si>
    <t>Patient Education Given</t>
  </si>
  <si>
    <t>Procedure Executed</t>
  </si>
  <si>
    <t>RCT initiated, access opening, WL determination, instrumentation, irrigation, calcium hydroxide dressing, temporary restoration</t>
  </si>
  <si>
    <t>Root canal treatment initiated</t>
  </si>
  <si>
    <t>Root canal treatment initiated; access cavity prepared, working length established with apex locator and radiograph, canals instrumented to size 25, calcium hydroxide dressing placed, and temporary Cavit restoration placed</t>
  </si>
  <si>
    <t>Root canal treatment initiated (first visit): access cavity preparation, working length determination with apex locator and radiograph, canal instrumentation to size 25, sodium hypochlorite irrigation, calcium hydroxide dressing, and temporary restoration</t>
  </si>
  <si>
    <t>Root canal treatment initiated: access cavity preparation, working length determination (apex locator and radiograph), canal instrumentation up to size 25, sodium hypochlorite irrigation, calcium hydroxide intracanal dressing, and temporary restoration</t>
  </si>
  <si>
    <t>Radiographs Taken</t>
  </si>
  <si>
    <t>Pre: PA; In: None; Post: None</t>
  </si>
  <si>
    <t>Pre-treatment: Periapical</t>
  </si>
  <si>
    <t>Pre-treatment: Periapical; Intra-treatment: Periapical (working length determination)</t>
  </si>
  <si>
    <t>Pre-treatment: Periapical; Intra-treatment: radiograph for working length determination (type not specified)</t>
  </si>
  <si>
    <t>Re Make</t>
  </si>
  <si>
    <t>Retention Priority</t>
  </si>
  <si>
    <t>High</t>
  </si>
  <si>
    <t>Service Leakage Alert</t>
  </si>
  <si>
    <t>Not specified</t>
  </si>
  <si>
    <t>Subspecialty Focus</t>
  </si>
  <si>
    <t>Endo</t>
  </si>
  <si>
    <t>Endodontics</t>
  </si>
  <si>
    <t>Tooth Number</t>
  </si>
  <si>
    <t>Treatment Plan Status</t>
  </si>
  <si>
    <t>In-Progress</t>
  </si>
  <si>
    <t>DENTAL-2</t>
  </si>
  <si>
    <t>Standard</t>
  </si>
  <si>
    <t>Replacement of missing upper right first molar</t>
  </si>
  <si>
    <t>Replacement of a missing upper right first molar</t>
  </si>
  <si>
    <t>3 Months</t>
  </si>
  <si>
    <t>3 months</t>
  </si>
  <si>
    <t>Missing tooth 16</t>
  </si>
  <si>
    <t>No internal referrals required</t>
  </si>
  <si>
    <t>Straumann Implant 4.3 × 10 mm, Xenograft Bone Graft, Collagen Membrane</t>
  </si>
  <si>
    <t>4.3 by 10 millimeter implant fixture from Straumann, xenograft bone substitute, collagen membrane</t>
  </si>
  <si>
    <t>Straumann implant fixture, 4.3 × 10 mm; xenograft bone substitute; collagen membrane</t>
  </si>
  <si>
    <t>Straumann 4.3 x 10 mm implant fixture, xenograft bone substitute, collagen membrane</t>
  </si>
  <si>
    <t>Straumann implant fixture 4.3 x 10 mm, xenograft bone substitute, collagen membrane, local anesthesia</t>
  </si>
  <si>
    <t>FDI 16</t>
  </si>
  <si>
    <t>Universal 16</t>
  </si>
  <si>
    <t>Healing assessment and prosthetic restoration planning</t>
  </si>
  <si>
    <t>No Past Medical History</t>
  </si>
  <si>
    <t>No significant medical history; medically fit for surgery</t>
  </si>
  <si>
    <t>Dental implant placement with bone graft and membrane</t>
  </si>
  <si>
    <t>Implant placement surgery</t>
  </si>
  <si>
    <t>Implant placement at site 16 under local anesthesia, with xenograft placement and collagen membrane coverage</t>
  </si>
  <si>
    <t>Implant placement surgery under local anesthesia at site 16 with good primary stability, supplemented with xenograft bone substitute and collagen membrane coverage</t>
  </si>
  <si>
    <t>Dental implant placement at site 16 under local anesthesia with good primary stability, with guided bone regeneration using xenograft and a collagen membrane</t>
  </si>
  <si>
    <t>Pre: CBCT; In: None; Post: None</t>
  </si>
  <si>
    <t>Pre-treatment: CBCT</t>
  </si>
  <si>
    <t>Pre-treatment: CBCT (reviewed pre-operatively); Post-treatment: none (post-operative CBCT not required)</t>
  </si>
  <si>
    <t>Oral Surgery</t>
  </si>
  <si>
    <t>Surgery</t>
  </si>
  <si>
    <t>Completed</t>
  </si>
  <si>
    <t>Notes</t>
  </si>
  <si>
    <t>Only models run for the Extraction stage are shown. A blank cell means the model ran but returned nothing for that field.</t>
  </si>
  <si>
    <t>Field name variants were merged: A – Airway / Airway, B – Breathing / Breathing, C – Circulation, D – Disability, E – Exposure; Outcome / Progress Status; Social / Marital / Family History vs Social Family History; Plan of Care vs Plan of Care (Short / Long Term).</t>
  </si>
  <si>
    <t>Per-call latency, cost and tokens remain in the "Detailed Results (Original)" tab and Summary.</t>
  </si>
  <si>
    <t>["I20.0 - Unstable angina", "R07.9 - Chest pain, unspecified", "R06.02 - Shortness of breath"]</t>
  </si>
  <si>
    <t>["I20.0 - Unstable angina", "R79.89 - Other specified abnormal findings of blood chemistry (elevated troponin)", "R07.89 - Other chest pain (epigastric/gastric pain, anginal equivalent)", "R06.02 - Shortness of breath"]</t>
  </si>
  <si>
    <t>["I20.0 - Unstable angina", "I21.4 - Non-ST elevation (NSTEMI) myocardial infarction", "R07.9 - Chest pain, unspecified", "R06.02 - Shortness of breath", "F17.210 - Nicotine dependence, cigarettes, uncomplicated"]</t>
  </si>
  <si>
    <t>["I20.0 - Unstable angina", "I21.4 - Non-ST elevation (NSTEMI) myocardial infarction", "R10.13 - Epigastric pain", "R06.02 - Shortness of breath"]</t>
  </si>
  <si>
    <t>Reasoning</t>
  </si>
  <si>
    <t>The patient's presentation of gastric pain, dyspnea, and elevated troponin levels, along with the final diagnosis of unstable angina, strongly supports the leading diagnosis of I20.0. The normal ECG is reassuring but does not rule out unstable angina, which is a critical condition requiring immediate attention.</t>
  </si>
  <si>
    <t>The final diagnosis stated by the treating team is unstable angina. A 25-year-old male smoker with diabetes and pre-hypertension has epigastric pain (a possible anginal equivalent) and dyspnea, with a slightly elevated troponin and a normal ECG. This supports a possible acute coronary syndrome that needs serial troponins and an echocardiogram. Because the troponin is elevated, early NSTEMI cannot be excluded, and a minor troponin rise with a normal ECG can also come from myocarditis or pulmonary embolism. Symptom and abnormal-lab codes are listed as fallbacks.</t>
  </si>
  <si>
    <t>The documented final diagnosis is unstable angina, supported by anginal-equivalent epigastric/gastric pain with dyspnea in a smoker with diabetes and pre-hypertension, a slightly elevated troponin and a non-diagnostic (normal) ECG, with admission for serial troponins and echocardiography. NSTEMI is retained as the closest alternative because a mildly raised troponin could reflect infarction if the serial trend rises, but no ischemic ECG changes or definite rise/fall pattern is yet documented. Symptom codes for chest/epigastric pain and dyspnea plus smoking status are included as supporting/secondary codes; gastric and pulmonary causes remain unexcluded.</t>
  </si>
  <si>
    <t>The patient presented with anginal equivalents including epigastric/gastric pain and dyspnea alongside cardiac risk factors (diabetes, pre-hypertension, smoking) and an elevated troponin level. The treating clinician documented a final diagnosis of unstable angina requiring admission to the CCU for serial cardiac enzymes and echocardiography. Differential codes reflect acute coronary syndrome spectrum and presenting symptoms.</t>
  </si>
  <si>
    <t>Differential Diagnoses</t>
  </si>
  <si>
    <t>Myocardial infarction - Pulmonary embolism - Aortic dissection - Pneumonia - Gastroesophageal reflux disease.</t>
  </si>
  <si>
    <t>Non-ST-elevation myocardial infarction (NSTEMI) - Pulmonary embolism - Myocarditis or pericarditis - Aortic dissection - Gastritis or peptic ulcer disease - Diabetic ketoacidosis.</t>
  </si>
  <si>
    <t>Non-ST elevation myocardial infarction - Pulmonary embolism - Gastro-oesophageal reflux / peptic ulcer disease - Myocarditis / pericarditis - Aortic dissection - Anxiety-related chest discomfort.</t>
  </si>
  <si>
    <t>Non-ST elevation myocardial infarction (NSTEMI) - Acute coronary syndrome - Gastroesophageal reflux disease (GERD) / Gastritis - Acute pancreatitis - Pulmonary embolism - Myocarditis / Pericarditis.</t>
  </si>
  <si>
    <t>Triage Priority</t>
  </si>
  <si>
    <t>High-acuity case requiring ICU admission.</t>
  </si>
  <si>
    <t>ESI 2 - Emergent (stable vitals but concerning symptoms of chest pain and dyspnea with elevated troponin levels)</t>
  </si>
  <si>
    <t>ESI 2 - Emergent (high-risk presentation with possible ACS, elevated troponin and multiple cardiac risk factors, despite stable vitals and normal ECG)</t>
  </si>
  <si>
    <t>ESI 2 - Emergent (stable vitals but high-risk ACS presentation with epigastric pain, dyspnea and a positive troponin requiring CCU monitoring)</t>
  </si>
  <si>
    <t>ESI 2 - Emergent (high-risk presentation of dyspnea, gastric pain, and elevated troponin requiring CCU admission)</t>
  </si>
  <si>
    <t>["N17.9 - Acute kidney failure, unspecified", "R41.81 - Other altered mental status", "D64.9 - Anemia, unspecified", "E11.9 - Type 2 diabetes mellitus without complications", "I10 - Essential (primary) hypertension"]</t>
  </si>
  <si>
    <t>["N17.9 - Acute kidney failure, unspecified", "E87.20 - Acidosis, unspecified", "N18.9 - Chronic kidney disease, unspecified", "R41.0 - Disorientation, unspecified", "D64.9 - Anemia, unspecified"]</t>
  </si>
  <si>
    <t>["N17.9 - Acute kidney failure, unspecified", "N18.9 - Chronic kidney disease, unspecified", "E87.2 - Acidosis", "A41.9 - Sepsis, unspecified organism", "F05 - Delirium due to known physiological condition"]</t>
  </si>
  <si>
    <t>["A41.9 - Sepsis, unspecified organism", "N17.9 - Acute kidney failure, unspecified", "N18.9 - Chronic kidney disease, unspecified", "E87.20 - Acidosis, unspecified", "F05 - Delirium due to known physiological condition"]</t>
  </si>
  <si>
    <t>The leading diagnosis is acute kidney failure (N17.9) due to the patient's chronic kidney disease (CKD) and the lab findings indicating elevated kidney functions and metabolic acidosis. The acute onset of confusion and drowsiness, along with anemia, supports this diagnosis as the primary concern, especially given the patient's background of CKD. Other diagnoses like altered mental status and anemia are relevant but secondary to the acute kidney failure.</t>
  </si>
  <si>
    <t>A diabetic, hypertensive patient with known CKD developed acute drowsiness, confusion and delirium over two days, with labs showing elevated kidney function tests and metabolic acidosis. This points most strongly to acute kidney injury on top of CKD with uremic/metabolic encephalopathy, which the treating team also lists first. Elevated TLC and pallor keep sepsis or septic shock a serious concern, but no source, blood pressure or culture result is documented, so N17.9 is leading, with acidosis, CKD, altered mental status and anemia (Hb 8.5) as supporting codes.</t>
  </si>
  <si>
    <t>The two-day acute onset of confusion and drowsiness in a diabetic, hypertensive patient with known CKD, accompanied by elevated kidney function tests and metabolic acidosis, points to acute kidney injury superimposed on chronic kidney disease as the leading diagnosis, with the resulting uremia/acidosis explaining the delirium. Leukocytosis (elevated TLC) with pallor and anemia (Hb 8.5) raises sepsis as a major co-leading possibility, so A41.9 is retained pending the planned infectious disease workup, but no documented hypotension yet supports coding frank septic shock. Acidosis and delirium are coded as significant concurrent manifestations rather than primary etiologies.</t>
  </si>
  <si>
    <t>The patient presented with acute onset drowsiness, delirium, elevated total leukocyte count (TLC), severe metabolic acidosis, and acute worsening of renal function requiring ICU admission and an infectious workup, strongly pointing to sepsis/septic shock with multi-organ involvement as the leading cause. Acute kidney injury superimposed on chronic kidney disease and metabolic encephalopathy are major contributing diagnoses addressed in the management plan.</t>
  </si>
  <si>
    <t>Septic shock - Acute kidney injury - Metabolic acidosis - Hyperglycemic hyperosmolar state - Cerebral hypoxia.</t>
  </si>
  <si>
    <t>Sepsis / septic shock - Uremic encephalopathy - Diabetic ketoacidosis / hyperosmolar hyperglycemic state - Hypoglycemia - Stroke or intracranial hemorrhage - Anemia of CKD or occult GI bleeding.</t>
  </si>
  <si>
    <t>Septic shock / urosepsis - Uremic encephalopathy from AKI on CKD - Hypoglycemia or diabetic ketoacidosis / hyperosmolar state - CNS infection (meningitis/encephalitis) - Stroke or intracranial hemorrhage - Drug/toxin-induced delirium.</t>
  </si>
  <si>
    <t>Sepsis / Septic shock - Uremic encephalopathy secondary to AKI on CKD - Diabetic ketoacidosis or Hyperosmolar hyperglycemic state - Severe systemic infection / Bacteremia - Acute toxic-metabolic encephalopathy.</t>
  </si>
  <si>
    <t>ESI 2 - Emergent (unstable mental status and potential acute kidney injury requiring immediate intervention)</t>
  </si>
  <si>
    <t>ESI 1 - Resuscitation (altered level of consciousness with metabolic acidosis, possible septic shock, requiring immediate ICU-level intervention)</t>
  </si>
  <si>
    <t>ESI 2 - Emergent (acute disturbed conscious level with metabolic acidosis, rising creatinine and leukocytosis; high risk for septic shock requiring immediate ICU-level resuscitation)</t>
  </si>
  <si>
    <t>ESI 2 - Emergent (acute altered mental status, metabolic acidosis, and multi-organ dysfunction requiring ICU admission)</t>
  </si>
  <si>
    <t>["E11.65 - Type 2 diabetes mellitus with hyperglycemia", "E11.9 - Type 2 diabetes mellitus without complications", "I10 - Essential (primary) hypertension", "R73.9 - Hyperglycemia, unspecified", "E78.5 - Hyperlipidemia, unspecified"]</t>
  </si>
  <si>
    <t>["E11.65 - Type 2 diabetes mellitus with hyperglycemia", "I10 - Essential (primary) hypertension", "Z91.14 - Patient's other noncompliance with medication regimen", "E11.339 - Type 2 diabetes mellitus with moderate nonproliferative diabetic retinopathy without macular edema"]</t>
  </si>
  <si>
    <t>["E11.65 - Type 2 diabetes mellitus with hyperglycemia", "I10 - Essential (primary) hypertension", "Z91.14 - Patient's other noncompliance with medication regimen", "E11.9 - Type 2 diabetes mellitus without complications", "Z13.5 - Encounter for screening for eye and ear disorders"]</t>
  </si>
  <si>
    <t>["E11.65 - Type 2 diabetes mellitus with hyperglycemia", "I10 - Essential (primary) hypertension", "E11.9 - Type 2 diabetes mellitus without complications"]</t>
  </si>
  <si>
    <t>The leading diagnosis is E11.65 due to the patient's symptoms of increased thirst, frequent urination, fatigue, and occasional blurred vision, which are indicative of hyperglycemia associated with his known type 2 diabetes. The patient's irregular medication adherence and high-carbohydrate diet further support this diagnosis. Hypertension is also present but is secondary to the diabetes-related issues.</t>
  </si>
  <si>
    <t>Known type 2 diabetes with 3 weeks of polydipsia, polyuria, fatigue and blurred vision, on metformin and gliclazide with irregular adherence and no glucose monitoring, indicates poorly controlled, symptomatic hyperglycemia (E11.65). HbA1c is pending, so hyperglycemia is inferred from symptoms rather than a confirmed value. Hypertension with BP 148/92 on amlodipine is a separate, active comorbidity. Retinopathy is only a possibility for the blurred vision and is not confirmed. Retinal screening is planned, so the retinopathy code is listed last as the least likely and tentative.</t>
  </si>
  <si>
    <t>The 3-week history of polydipsia, polyuria, fatigue and intermittent blurred vision in a known 8-year type 2 diabetic with irregular adherence and no home monitoring points to symptomatic hyperglycaemia/poor glycaemic control, making E11.65 the leading code over uncomplicated E11.9, which is retained only as a fallback pending HbA1c and glucose profile. Hypertension is separately coded given BP 148/92 mmHg on amlodipine 10 mg daily, indicating inadequate control. Documented irregular medication adherence supports Z91.14, and the referral to ophthalmology for retinal screening with no established retinopathy supports a screening code rather than a complication code.</t>
  </si>
  <si>
    <t>The patient presents with classic osmotic symptoms of uncontrolled hyperglycemia, including progressive polydipsia, polyuria, fatigue, and blurred vision, driven by poor medication adherence and diet. Essential hypertension is also actively managed given his documented history and elevated clinic blood pressure of 148/92 mmHg.</t>
  </si>
  <si>
    <t>["M17.12 - Unilateral primary osteoarthritis of the knee, right knee", "M25.561 - Pain in right knee", "M17.9 - Osteoarthritis of knee, unspecified", "M23.9 - Internal derangement of knee, unspecified", "M79.1 - Myalgia"]</t>
  </si>
  <si>
    <t>["M17.11 - Unilateral primary osteoarthritis, right knee", "M25.561 - Pain in right knee", "M23.201 - Derangement of unspecified meniscus due to old tear or injury, right knee", "E11.9 - Type 2 diabetes mellitus without complications", "I10 - Essential (primary) hypertension"]</t>
  </si>
  <si>
    <t>["M25.561 - Pain in right knee", "M17.11 - Unilateral primary osteoarthritis, right knee", "M25.461 - Effusion, right knee", "E11.9 - Type 2 diabetes mellitus without complications", "I10 - Essential (primary) hypertension"]</t>
  </si>
  <si>
    <t>["M25.561 - Pain in right knee", "M17.11 - Unilateral primary osteoarthritis, right knee", "M23.8X1 - Other internal derangements of right knee", "E11.9 - Type 2 diabetes mellitus without complications", "I10 - Essential (primary) hypertension"]</t>
  </si>
  <si>
    <t>The leading diagnosis of unilateral primary osteoarthritis of the right knee is supported by the patient's symptoms of gradually progressive knee pain, particularly medial pain aggravated by activity, and mild swelling. The absence of trauma and the patient's family history of knee osteoarthritis further reinforce this diagnosis. Other codes, such as pain in the right knee, are relevant but secondary to the primary diagnosis of osteoarthritis.</t>
  </si>
  <si>
    <t>A 42-year-old with 2 months of gradually progressive medial knee pain, aggravated by walking, stairs and squatting, with stiffness after prolonged sitting, mild intermittent swelling, and a family history of knee osteoarthritis, points to early primary osteoarthritis. Medial joint-line tenderness and painful terminal flexion without locking, instability or trauma make a meniscal lesion less likely, though it remains an alternative until imaging. Osteoarthritis is not yet confirmed by X-ray, so knee pain is the fallback code. Diabetes and hypertension are documented comorbidities.</t>
  </si>
  <si>
    <t>Today's documentation supports a symptom-level diagnosis as the leading code: 2 months of gradually progressive medial right knee pain with mild medial joint-line tenderness, minimal swelling and painful terminal flexion, but weight-bearing X-rays are still pending, so degenerative change is not yet radiographically confirmed. Early primary osteoarthritis of the right knee is the strongest differential given the activity-related mechanical pain on stairs/squatting, post-sitting stiffness, sedentary habitus, and a father with knee osteoarthritis — it is listed second pending imaging. Intermittent effusion is coded for the minimal swelling, and the actively treated comorbidities (metformin-treated type 2 diabetes for 6 years, amlodipine-treated hypertension for 3 years) are included as they affect management; absence of trauma, locking, or giving way argues against meniscal or ligamentous injury, and absence of fever or redness argues against septic or inflammatory arthritis.</t>
  </si>
  <si>
    <t>The patient presents with non-traumatic, gradually progressive medial right knee pain aggravated by stairs, squatting, and walking, alongside mild medial joint-line tenderness and painful terminal flexion on physical exam. Symptomatic right knee pain is the leading working diagnosis pending weight-bearing radiographs to evaluate for early osteoarthritis or internal derangement. Managed comorbidities of diabetes and hypertension are documented as co-existing conditions.</t>
  </si>
  <si>
    <t>["K04.0 - Pulpitis", "K04.4 - Acute apical periodontitis of pulpal origin", "K04.7 - Other diseases of pulp and periapical tissues"]</t>
  </si>
  <si>
    <t>["K04.02 - Irreversible pulpitis", "K04.4 - Acute apical periodontitis of pulpal origin", "I10 - Essential (primary) hypertension (controlled, on Amlodipine)"]</t>
  </si>
  <si>
    <t>["K04.02 - Irreversible pulpitis", "K04.4 - Acute apical periodontitis of pulpal origin", "K04.7 - Periapical abscess without sinus", "I10 - Essential (primary) hypertension", "Z01.20 - Encounter for dental examination and cleaning without abnormal findings"]</t>
  </si>
  <si>
    <t>["K04.01 - Irreversible pulpitis", "K04.4 - Acute apical periodontitis of pulpal origin"]</t>
  </si>
  <si>
    <t>The patient presented with severe pain in the lower left molar, which has been progressively worsening, indicating a significant dental issue. The clinical and radiographic examination confirmed irreversible pulpitis with symptomatic apical periodontitis affecting tooth 36, making K04.0 the leading diagnosis. The presence of apical periodontitis further supports the inclusion of K04.4 as a secondary diagnosis.</t>
  </si>
  <si>
    <t>The clinical and radiographic examination of tooth 36 explicitly found irreversible pulpitis. This fits the severe spontaneous pain that has worsened over three days and is aggravated by hot beverages, and it is the main reason root canal treatment was started. Symptomatic apical periodontitis is also documented and is coded second as a coexisting periapical diagnosis. Controlled hypertension is a relevant comorbidity but is not the reason for the visit.</t>
  </si>
  <si>
    <t>Today's documentation explicitly describes spontaneous, progressively worsening severe pain in tooth 36 aggravated by heat — the classic hallmark of irreversible pulpitis — and the clinician's own clinical/radiographic diagnosis confirms it, making K04.02 the leading code over reversible pulpitis (which would show only brief stimulus-evoked pain). K04.4 is coded secondarily because symptomatic apical periodontitis was diagnosed, supported by the pre-operative periapical radiograph and the initiation of root canal therapy with working-length determination. K04.7 is listed as a lower-likelihood alternative only because no swelling, sinus tract, or suppuration was documented. I10 is included as a relevant comorbidity given controlled hypertension on Amlodipine, which affects treatment planning rather than the primary dental diagnosis.</t>
  </si>
  <si>
    <t>The patient presented with spontaneous, severe pain in tooth 36 aggravated by hot beverages, which directly supports the primary diagnosis of irreversible pulpitis. Clinical and radiographic findings confirmed irreversible pulpitis accompanied by symptomatic apical periodontitis, necessitating the initiation of root canal therapy. Both conditions are explicitly documented from today's examination.</t>
  </si>
  <si>
    <t>["K08.1 - Partial edentulous arch", "K08.3 - Edentulous arch due to trauma", "K08.9 - Unspecified disorders of teeth and supporting structures"]</t>
  </si>
  <si>
    <t>["K08.411 - Partial edentulism, class I, maxilla (acquired loss of teeth, partial, due to extraction)", "K08.121 - Complete loss of teeth due to extraction"]</t>
  </si>
  <si>
    <t>["K08.429 - Partial loss of teeth due to extraction, unspecified class", "K08.409 - Partial loss of teeth, unspecified cause, unspecified class", "Z96.5 - Presence of dental and subperiosteal implants", "K08.20 - Unspecified atrophy of edentulous alveolar ridge", "Z46.3 - Encounter for fitting and adjustment of dental prosthetic device"]</t>
  </si>
  <si>
    <t>["K08.499 - Partial loss of teeth due to other specified cause, unspecified class", "K08.409 - Partial loss of teeth, unspecified cause, unspecified class", "Z96.5 - Presence of tooth and oral implants"]</t>
  </si>
  <si>
    <t>The leading diagnosis of partial edentulous maxilla is supported by the patient's missing upper right first molar (tooth 16) due to previous extraction. This directly correlates with the ICD-10 code K08.1, which specifically addresses partial edentulous arches. The other codes are less relevant as they pertain to different causes of edentulousness or unspecified disorders.</t>
  </si>
  <si>
    <t>The text states the diagnosis is a partially edentulous maxilla from previous extraction of tooth 16 (upper right first molar). An implant with xenograft and a collagen membrane was placed to replace it. The code for acquired partial loss of teeth due to extraction best fits this and was chosen as the leading diagnosis. Only one tooth is missing, so complete tooth loss is much less likely and is listed only as a low-probability alternative. No pathology, infection, or complication is described. The Kennedy class is not stated, so the class I code is a best-fit approximation and the class should be confirmed. No history block was provided.</t>
  </si>
  <si>
    <t>The note explicitly states a partially edentulous maxilla at site 16 resulting from a previous extraction, which maps directly to partial loss of teeth due to extraction (K08.429) rather than a non-specified cause. The surgical placement of a 4.3 x 10 mm Straumann fixture supports coding the presence of a dental implant (Z96.5), and the use of xenograft with a collagen membrane around the fixture suggests deficient/atrophic ridge volume (K08.20), though no ridge measurements were documented. Planned return in three months for prosthetic restoration planning supports Z46.3 as a secondary/future-care code.</t>
  </si>
  <si>
    <t>The patient presented with a missing upper right first molar (tooth 16) resulting from a previous extraction, which explicitly supports the leading diagnosis of partial loss of teeth due to a specified cause. The encounter involved successful surgical placement of an endosseous implant fixture with bone grafting to restore the edentulous site. Secondary codes reflect general partial edentulism and post-procedural presence of an oral implant.</t>
  </si>
  <si>
    <t>Language</t>
  </si>
  <si>
    <t>Stage</t>
  </si>
  <si>
    <t>Model Slug</t>
  </si>
  <si>
    <t>Latency (sec)</t>
  </si>
  <si>
    <t>Cost (USD)</t>
  </si>
  <si>
    <t>er</t>
  </si>
  <si>
    <t>Extraction</t>
  </si>
  <si>
    <t>openai/gpt-4o-mini</t>
  </si>
  <si>
    <t>openai/gpt-5.6-luna</t>
  </si>
  <si>
    <t>z-ai/glm-5.3-flash</t>
  </si>
  <si>
    <t>anthropic/claude-sonnet-5.5</t>
  </si>
  <si>
    <t>google/gemini-3.7-flash</t>
  </si>
  <si>
    <t>anthropic/claude-opus-5</t>
  </si>
  <si>
    <t>opd</t>
  </si>
  <si>
    <t>dental</t>
  </si>
  <si>
    <t>Departement</t>
  </si>
  <si>
    <t>EN</t>
  </si>
  <si>
    <t>25 years old male presented to ER with a gastric pain and dysnea and shortness of breath. He has a history of diabetes and pre-hypertension. He has no past surgical history. He is a smoker. With no other relevant history. His vitals were okay and his labs showed slightly elevated troponin and his ECG was normal. The patient is for a series of troponin in the CCU and the echocardiogram. If all turned out to be okay, he will be discharged and he will take two days sick leave. His final diagnosis is unstable angina. For follow-up, for admission, sorry.  </t>
  </si>
  <si>
    <t>60 years old patient, diabetic, hypertensive, and CKD, chronic kidney disease. He presented to ER with DCL and confusion. He has a history of right hip replacement, okay, and appendectomy. On examination, the patient presented drowsy. His acute onset, this was for two days ago. The patient on examination is pale and deliroric, okay, and with disturbed conscious level. His lab showed anemia, hemoglobin 8.5, and TLC elevated, metabolic acidosis, and elevated kidney functions. The patient could be possibly acute kidney injury on top of CKD, or septic shock, or metabolic acidosis. The patient is for ICU and for infectious confology for further workup.</t>
  </si>
  <si>
    <t>A 54-year-old male, known case of type 2 diabetes for 8 years and hypertension for 5 years, presents for his first visit with a 3-week history of gradually progressive increased thirst, frequent urination, fatigue, and occasional blurred vision. He denies fever, dysuria, chest pain, shortness of breath, or vomiting. He is currently on metformin 1 gram twice daily, gliclazide 60 mg once daily, and amlodipine 10 mg once daily, with irregular medication adherence and no regular home glucose monitoring. No previous surgical history; no known history of ischemic heart disease, kidney disease, stroke, or diabetic foot problems. He is a non-smoker, does not drink alcohol, follows an irregular high-carbohydrate diet, and has a sedentary lifestyle; his father was diabetic and hypertensive. On examination, he is alert and oriented, BP 148/92 mmHg, pulse 82/min, with no edema or active foot ulcer and otherwise unremarkable cardiovascular, respiratory, and abdominal examination. Plan is to check HbA1c, glucose profile, renal function, urine ACR, lipids, LFTs, and ECG, review medications after results, reinforce medication adherence, diabetic diet, glucose monitoring and foot care, and refer to dietitian and ophthalmology for retinal screening. Follow-up is planned in 2 weeks to review results and treatment response. As this is the first visit, baseline control is documented with no previous treatment outcome available. No known drug allergies. </t>
  </si>
  <si>
    <t>A 42-year-old male presents for his first orthopedic visit with gradually progressive right knee pain for 2 months, worsening over the last 3 weeks after increased physical activity. Pain is mainly medial, aggravated by walking, stairs, and squatting, with mild intermittent swelling and stiffness after prolonged sitting. He denies trauma, locking, giving way, fever, or redness. He is known diabetic for 6 years and hypertensive for 3 years, currently taking metformin 1 gram twice daily and amlodipine 5 mg once daily. No previous orthopedic disease or surgery. He is a non-smoker, does not drink alcohol, has a sedentary office job, and reports limited physical activity; his father had knee osteoarthritis. Examination shows mild medial joint-line tenderness and minimal swelling, with painful terminal flexion but no significant restriction or instability; distal neurovascular examination is intact. Plan is weight-bearing bilateral knee X-rays, analgesia as appropriate, activity modification, and home quadriceps-strengthening exercises, with physiotherapy referral. MRI will be considered if clinically indicated. He was advised to avoid prolonged squatting and excessive stairs and to return earlier for significant swelling, fever, or inability to bear weight. Follow-up is planned within 1–2 weeks to review imaging and response to treatment. As this is the first visit, baseline pain and functional status are documented with no previous treatment outcome. No known drug allergies. </t>
  </si>
  <si>
    <t>Dental</t>
  </si>
  <si>
    <t>The patient presented today complaining of severe pain in the lower left molar that started approximately one week ago and has progressively worsened over the last three days. The pain is spontaneous and aggravated by hot beverages.  
The patient has a history of controlled hypertension and is currently taking Amlodipine. Verbal consent was obtained before treatment.  
A pre-operative periapical radiograph was taken.  
Clinical and radiographic examination revealed irreversible pulpitis with symptomatic apical periodontitis affecting tooth 36.  
Root canal treatment was initiated today.  
Access cavity preparation was completed, working length was determined using apex locator and radiograph, and canal instrumentation was performed up to size 25. Sodium hypochlorite irrigation was used throughout the procedure and calcium hydroxide dressing was placed. Temporary restoration was placed using Cavit.  
No procedural complications occurred.  
Oral hygiene instructions and post-operative care instructions were explained to the patient.  
The treatment plan is currently in progress.  
The patient is under insurance coverage.  
An internal referral will be made to Prosthodontics for full coverage crown placement after endodontic treatment completion.  
The next visit will be for completion of root canal treatment on tooth 36 in one week. Patient retention priority is high.</t>
  </si>
  <si>
    <t>Today the patient attended for replacement of a missing upper right first molar.  
Written consent was obtained.  
CBCT imaging was reviewed pre-operatively.  
The missing tooth corresponds to site number 16.  
The patient denied any significant medical history and is medically fit for surgery.  
Diagnosis is partially edentulous maxilla due to previous extraction of tooth 16.  
Implant placement surgery was completed successfully under local anesthesia.  
A 4.3 by 10 millimeter implant fixture from Straumann was inserted with good primary stability.  
Xenograft bone substitute was placed around the implant and covered with a collagen membrane.  
Post-operative CBCT was not required.  
No complications were encountered during surgery.  
The patient was educated regarding post-operative instructions, oral hygiene measures, smoking cessation advice and diet recommendations.  
The treatment plan for implant placement is completed.  
The case was classified as standard pricing.  
No internal referrals were required.  
The patient will return after three months for healing assessment and prosthetic restoration planning.  
Retention priority is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</si>
</sst>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0.0000"/>
    <numFmt numFmtId="166" formatCode="0.0%"/>
  </numFmts>
  <fonts count="10" x14ac:knownFonts="1">
    <font>
      <sz val="11"/>
      <color theme="1"/>
      <name val="Calibri"/>
      <family val="2"/>
      <charset val="1"/>
    </font>
    <font>
      <b/>
      <sz val="16"/>
      <color rgb="FF6B4F35"/>
      <name val="Calibri"/>
      <family val="2"/>
    </font>
    <font>
      <i/>
      <sz val="10"/>
      <name val="Calibri"/>
      <family val="2"/>
    </font>
    <font>
      <b/>
      <sz val="12"/>
      <color rgb="FF6B4F35"/>
      <name val="Calibri"/>
      <family val="2"/>
    </font>
    <font>
      <b/>
      <sz val="10"/>
      <color rgb="FFFFFFFF"/>
      <name val="Calibri"/>
      <family val="2"/>
    </font>
    <font>
      <sz val="10"/>
      <name val="Calibri"/>
      <family val="2"/>
    </font>
    <font>
      <b/>
      <sz val="11"/>
      <color rgb="FFFFFFFF"/>
      <name val="Calibri"/>
      <family val="2"/>
    </font>
    <font>
      <b/>
      <sz val="10"/>
      <name val="Calibri"/>
      <family val="2"/>
    </font>
    <font>
      <b/>
      <sz val="11"/>
      <color theme="1"/>
      <name val="Calibri"/>
      <family val="2"/>
      <scheme val="minor"/>
    </font>
    <font>
      <sz val="12"/>
      <name val="Calibri"/>
      <family val="2"/>
    </font>
  </fonts>
  <fills count="7">
    <fill>
      <patternFill patternType="none"/>
    </fill>
    <fill>
      <patternFill patternType="gray125"/>
    </fill>
    <fill>
      <patternFill patternType="solid">
        <fgColor rgb="FF6B4F35"/>
        <bgColor rgb="FF8C3B1F"/>
      </patternFill>
    </fill>
    <fill>
      <patternFill patternType="solid">
        <fgColor rgb="FFFAF7F2"/>
        <bgColor rgb="FFFFFFFF"/>
      </patternFill>
    </fill>
    <fill>
      <patternFill patternType="solid">
        <fgColor rgb="FFF3EDE4"/>
        <bgColor rgb="FFFAF7F2"/>
      </patternFill>
    </fill>
    <fill>
      <patternFill patternType="solid">
        <fgColor theme="4" tint="0.59999389629810485"/>
        <bgColor indexed="64"/>
      </patternFill>
    </fill>
    <fill>
      <patternFill patternType="solid">
        <fgColor theme="4" tint="-0.249977111117893"/>
        <bgColor indexed="64"/>
      </patternFill>
    </fill>
  </fills>
  <borders count="3">
    <border>
      <left/>
      <right/>
      <top/>
      <bottom/>
      <diagonal/>
    </border>
    <border>
      <left style="thin">
        <color rgb="FFD9D2C8"/>
      </left>
      <right style="thin">
        <color rgb="FFD9D2C8"/>
      </right>
      <top style="thin">
        <color rgb="FFD9D2C8"/>
      </top>
      <bottom style="thin">
        <color rgb="FFD9D2C8"/>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6">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1" xfId="0" applyFont="1" applyBorder="1"/>
    <xf numFmtId="164" fontId="5" fillId="0" borderId="1" xfId="0" applyNumberFormat="1" applyFont="1" applyBorder="1" applyAlignment="1">
      <alignment horizontal="center"/>
    </xf>
    <xf numFmtId="165" fontId="5" fillId="0" borderId="1" xfId="0" applyNumberFormat="1" applyFont="1" applyBorder="1" applyAlignment="1">
      <alignment horizontal="center"/>
    </xf>
    <xf numFmtId="166" fontId="5" fillId="0" borderId="1" xfId="0" applyNumberFormat="1" applyFont="1" applyBorder="1" applyAlignment="1">
      <alignment horizontal="center"/>
    </xf>
    <xf numFmtId="0" fontId="0" fillId="0" borderId="0" xfId="0" applyAlignment="1"/>
    <xf numFmtId="0" fontId="6" fillId="2" borderId="1" xfId="0" applyFont="1" applyFill="1" applyBorder="1" applyAlignment="1">
      <alignment horizontal="center" vertical="center" wrapText="1"/>
    </xf>
    <xf numFmtId="0" fontId="5" fillId="3" borderId="1" xfId="0" applyFont="1" applyFill="1" applyBorder="1" applyAlignment="1">
      <alignment horizontal="center" vertical="top" wrapText="1"/>
    </xf>
    <xf numFmtId="0" fontId="7" fillId="3"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5" fillId="3" borderId="1" xfId="0" applyFont="1" applyFill="1" applyBorder="1" applyAlignment="1">
      <alignment horizontal="left" vertical="top" wrapText="1"/>
    </xf>
    <xf numFmtId="0" fontId="5" fillId="0" borderId="1" xfId="0" applyFont="1" applyBorder="1" applyAlignment="1">
      <alignment horizontal="center" vertical="top" wrapText="1"/>
    </xf>
    <xf numFmtId="0" fontId="7" fillId="0" borderId="1" xfId="0" applyFont="1" applyBorder="1" applyAlignment="1">
      <alignment horizontal="left" vertical="top" wrapText="1"/>
    </xf>
    <xf numFmtId="0" fontId="5" fillId="0" borderId="1" xfId="0" applyFont="1" applyBorder="1" applyAlignment="1">
      <alignment horizontal="left" vertical="top" wrapText="1"/>
    </xf>
    <xf numFmtId="0" fontId="7" fillId="0" borderId="0" xfId="0" applyFont="1" applyAlignment="1"/>
    <xf numFmtId="0" fontId="6" fillId="2" borderId="0" xfId="0" applyFont="1" applyFill="1" applyAlignment="1">
      <alignment horizontal="center"/>
    </xf>
    <xf numFmtId="0" fontId="0" fillId="0" borderId="0" xfId="0" applyFont="1" applyAlignment="1">
      <alignment vertical="top" wrapText="1"/>
    </xf>
    <xf numFmtId="0" fontId="8" fillId="5" borderId="2" xfId="0" applyFont="1" applyFill="1" applyBorder="1" applyAlignment="1">
      <alignment horizontal="center"/>
    </xf>
    <xf numFmtId="0" fontId="0" fillId="0" borderId="0" xfId="0" applyAlignment="1">
      <alignment horizontal="center" vertical="center"/>
    </xf>
    <xf numFmtId="0" fontId="0" fillId="0" borderId="0" xfId="0" applyAlignment="1">
      <alignment vertical="top" wrapText="1"/>
    </xf>
    <xf numFmtId="0" fontId="0" fillId="6" borderId="0" xfId="0" applyFill="1"/>
    <xf numFmtId="0" fontId="9" fillId="0" borderId="0" xfId="0" applyFont="1" applyAlignment="1">
      <alignment horizontal="left" vertical="center" wrapText="1"/>
    </xf>
    <xf numFmtId="0" fontId="2" fillId="0" borderId="0"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3B3B3"/>
      <rgbColor rgb="FFA67C52"/>
      <rgbColor rgb="FF8FAADC"/>
      <rgbColor rgb="FF6B4F35"/>
      <rgbColor rgb="FFFAF7F2"/>
      <rgbColor rgb="FFCCFFFF"/>
      <rgbColor rgb="FF660066"/>
      <rgbColor rgb="FFD98C5F"/>
      <rgbColor rgb="FF0066CC"/>
      <rgbColor rgb="FFD9D9D9"/>
      <rgbColor rgb="FF000080"/>
      <rgbColor rgb="FFFF00FF"/>
      <rgbColor rgb="FFFFFF00"/>
      <rgbColor rgb="FF00FFFF"/>
      <rgbColor rgb="FF800080"/>
      <rgbColor rgb="FF800000"/>
      <rgbColor rgb="FF008080"/>
      <rgbColor rgb="FF0000FF"/>
      <rgbColor rgb="FF00CCFF"/>
      <rgbColor rgb="FFCCFFFF"/>
      <rgbColor rgb="FFF3EDE4"/>
      <rgbColor rgb="FFFFFF99"/>
      <rgbColor rgb="FF99CCFF"/>
      <rgbColor rgb="FFFF99CC"/>
      <rgbColor rgb="FFCC99FF"/>
      <rgbColor rgb="FFD9D2C8"/>
      <rgbColor rgb="FF3366FF"/>
      <rgbColor rgb="FF33CCCC"/>
      <rgbColor rgb="FF99CC00"/>
      <rgbColor rgb="FFFFC000"/>
      <rgbColor rgb="FFFF9900"/>
      <rgbColor rgb="FFFF6600"/>
      <rgbColor rgb="FF666699"/>
      <rgbColor rgb="FF999999"/>
      <rgbColor rgb="FF003366"/>
      <rgbColor rgb="FF70AD47"/>
      <rgbColor rgb="FF003300"/>
      <rgbColor rgb="FF333300"/>
      <rgbColor rgb="FF8C3B1F"/>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Extraction: Avg latency per call</a:t>
            </a:r>
          </a:p>
        </c:rich>
      </c:tx>
      <c:overlay val="0"/>
      <c:spPr>
        <a:noFill/>
        <a:ln w="0">
          <a:noFill/>
        </a:ln>
      </c:spPr>
    </c:title>
    <c:autoTitleDeleted val="0"/>
    <c:plotArea>
      <c:layout/>
      <c:barChart>
        <c:barDir val="col"/>
        <c:grouping val="clustered"/>
        <c:varyColors val="0"/>
        <c:ser>
          <c:idx val="0"/>
          <c:order val="0"/>
          <c:tx>
            <c:strRef>
              <c:f>Charts!$B$5</c:f>
              <c:strCache>
                <c:ptCount val="1"/>
                <c:pt idx="0">
                  <c:v>Avg latency (sec)</c:v>
                </c:pt>
              </c:strCache>
            </c:strRef>
          </c:tx>
          <c:spPr>
            <a:solidFill>
              <a:srgbClr val="6B4F35"/>
            </a:solidFill>
            <a:ln w="0">
              <a:solidFill>
                <a:srgbClr val="000000"/>
              </a:solidFill>
            </a:ln>
          </c:spPr>
          <c:invertIfNegative val="0"/>
          <c:dPt>
            <c:idx val="0"/>
            <c:invertIfNegative val="0"/>
            <c:bubble3D val="0"/>
            <c:spPr>
              <a:solidFill>
                <a:srgbClr val="8FAADC"/>
              </a:solidFill>
              <a:ln w="0">
                <a:solidFill>
                  <a:srgbClr val="000000"/>
                </a:solidFill>
              </a:ln>
            </c:spPr>
            <c:extLst>
              <c:ext xmlns:c16="http://schemas.microsoft.com/office/drawing/2014/chart" uri="{C3380CC4-5D6E-409C-BE32-E72D297353CC}">
                <c16:uniqueId val="{00000001-7546-43D0-A71B-40EEBBD08BE8}"/>
              </c:ext>
            </c:extLst>
          </c:dPt>
          <c:dPt>
            <c:idx val="1"/>
            <c:invertIfNegative val="0"/>
            <c:bubble3D val="0"/>
            <c:spPr>
              <a:solidFill>
                <a:srgbClr val="2F5597"/>
              </a:solidFill>
              <a:ln w="0">
                <a:solidFill>
                  <a:srgbClr val="000000"/>
                </a:solidFill>
              </a:ln>
            </c:spPr>
            <c:extLst>
              <c:ext xmlns:c16="http://schemas.microsoft.com/office/drawing/2014/chart" uri="{C3380CC4-5D6E-409C-BE32-E72D297353CC}">
                <c16:uniqueId val="{00000003-7546-43D0-A71B-40EEBBD08BE8}"/>
              </c:ext>
            </c:extLst>
          </c:dPt>
          <c:dPt>
            <c:idx val="2"/>
            <c:invertIfNegative val="0"/>
            <c:bubble3D val="0"/>
            <c:spPr>
              <a:solidFill>
                <a:srgbClr val="70AD47"/>
              </a:solidFill>
              <a:ln w="0">
                <a:solidFill>
                  <a:srgbClr val="000000"/>
                </a:solidFill>
              </a:ln>
            </c:spPr>
            <c:extLst>
              <c:ext xmlns:c16="http://schemas.microsoft.com/office/drawing/2014/chart" uri="{C3380CC4-5D6E-409C-BE32-E72D297353CC}">
                <c16:uniqueId val="{00000005-7546-43D0-A71B-40EEBBD08BE8}"/>
              </c:ext>
            </c:extLst>
          </c:dPt>
          <c:dPt>
            <c:idx val="3"/>
            <c:invertIfNegative val="0"/>
            <c:bubble3D val="0"/>
            <c:spPr>
              <a:solidFill>
                <a:srgbClr val="D98C5F"/>
              </a:solidFill>
              <a:ln w="0">
                <a:solidFill>
                  <a:srgbClr val="000000"/>
                </a:solidFill>
              </a:ln>
            </c:spPr>
            <c:extLst>
              <c:ext xmlns:c16="http://schemas.microsoft.com/office/drawing/2014/chart" uri="{C3380CC4-5D6E-409C-BE32-E72D297353CC}">
                <c16:uniqueId val="{00000007-7546-43D0-A71B-40EEBBD08BE8}"/>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7546-43D0-A71B-40EEBBD08BE8}"/>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7546-43D0-A71B-40EEBBD08BE8}"/>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7546-43D0-A71B-40EEBBD08BE8}"/>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7546-43D0-A71B-40EEBBD08BE8}"/>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Charts!$A$6:$A$9</c:f>
              <c:strCache>
                <c:ptCount val="4"/>
                <c:pt idx="0">
                  <c:v>GPT 4o mini</c:v>
                </c:pt>
                <c:pt idx="1">
                  <c:v>GPT 5.6 Luna</c:v>
                </c:pt>
                <c:pt idx="2">
                  <c:v>GLM 5.3 Flash</c:v>
                </c:pt>
                <c:pt idx="3">
                  <c:v>Claude Sonnet 5.5</c:v>
                </c:pt>
              </c:strCache>
            </c:strRef>
          </c:cat>
          <c:val>
            <c:numRef>
              <c:f>Charts!$B$6:$B$9</c:f>
              <c:numCache>
                <c:formatCode>0.0</c:formatCode>
                <c:ptCount val="4"/>
                <c:pt idx="0">
                  <c:v>4.101</c:v>
                </c:pt>
                <c:pt idx="1">
                  <c:v>5.5293333333333337</c:v>
                </c:pt>
                <c:pt idx="2">
                  <c:v>55.087999999999994</c:v>
                </c:pt>
                <c:pt idx="3">
                  <c:v>6.6286666666666667</c:v>
                </c:pt>
              </c:numCache>
            </c:numRef>
          </c:val>
          <c:extLst>
            <c:ext xmlns:c16="http://schemas.microsoft.com/office/drawing/2014/chart" uri="{C3380CC4-5D6E-409C-BE32-E72D297353CC}">
              <c16:uniqueId val="{00000008-7546-43D0-A71B-40EEBBD08BE8}"/>
            </c:ext>
          </c:extLst>
        </c:ser>
        <c:dLbls>
          <c:showLegendKey val="0"/>
          <c:showVal val="0"/>
          <c:showCatName val="0"/>
          <c:showSerName val="0"/>
          <c:showPercent val="0"/>
          <c:showBubbleSize val="0"/>
        </c:dLbls>
        <c:gapWidth val="60"/>
        <c:axId val="99405581"/>
        <c:axId val="52594037"/>
      </c:barChart>
      <c:catAx>
        <c:axId val="99405581"/>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2594037"/>
        <c:crosses val="autoZero"/>
        <c:auto val="1"/>
        <c:lblAlgn val="ctr"/>
        <c:lblOffset val="100"/>
        <c:noMultiLvlLbl val="0"/>
      </c:catAx>
      <c:valAx>
        <c:axId val="52594037"/>
        <c:scaling>
          <c:orientation val="minMax"/>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Seconds</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940558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Extraction: Avg cost per call</a:t>
            </a:r>
          </a:p>
        </c:rich>
      </c:tx>
      <c:overlay val="0"/>
      <c:spPr>
        <a:noFill/>
        <a:ln w="0">
          <a:noFill/>
        </a:ln>
      </c:spPr>
    </c:title>
    <c:autoTitleDeleted val="0"/>
    <c:plotArea>
      <c:layout/>
      <c:barChart>
        <c:barDir val="col"/>
        <c:grouping val="clustered"/>
        <c:varyColors val="0"/>
        <c:ser>
          <c:idx val="0"/>
          <c:order val="0"/>
          <c:tx>
            <c:strRef>
              <c:f>Charts!$C$5</c:f>
              <c:strCache>
                <c:ptCount val="1"/>
                <c:pt idx="0">
                  <c:v>Avg cost per call (USD)</c:v>
                </c:pt>
              </c:strCache>
            </c:strRef>
          </c:tx>
          <c:spPr>
            <a:solidFill>
              <a:srgbClr val="6B4F35"/>
            </a:solidFill>
            <a:ln w="0">
              <a:solidFill>
                <a:srgbClr val="000000"/>
              </a:solidFill>
            </a:ln>
          </c:spPr>
          <c:invertIfNegative val="0"/>
          <c:dPt>
            <c:idx val="0"/>
            <c:invertIfNegative val="0"/>
            <c:bubble3D val="0"/>
            <c:spPr>
              <a:solidFill>
                <a:srgbClr val="8FAADC"/>
              </a:solidFill>
              <a:ln w="0">
                <a:solidFill>
                  <a:srgbClr val="000000"/>
                </a:solidFill>
              </a:ln>
            </c:spPr>
            <c:extLst>
              <c:ext xmlns:c16="http://schemas.microsoft.com/office/drawing/2014/chart" uri="{C3380CC4-5D6E-409C-BE32-E72D297353CC}">
                <c16:uniqueId val="{00000001-6C18-4A88-AEBF-3C8CFC4BCF24}"/>
              </c:ext>
            </c:extLst>
          </c:dPt>
          <c:dPt>
            <c:idx val="1"/>
            <c:invertIfNegative val="0"/>
            <c:bubble3D val="0"/>
            <c:spPr>
              <a:solidFill>
                <a:srgbClr val="2F5597"/>
              </a:solidFill>
              <a:ln w="0">
                <a:solidFill>
                  <a:srgbClr val="000000"/>
                </a:solidFill>
              </a:ln>
            </c:spPr>
            <c:extLst>
              <c:ext xmlns:c16="http://schemas.microsoft.com/office/drawing/2014/chart" uri="{C3380CC4-5D6E-409C-BE32-E72D297353CC}">
                <c16:uniqueId val="{00000003-6C18-4A88-AEBF-3C8CFC4BCF24}"/>
              </c:ext>
            </c:extLst>
          </c:dPt>
          <c:dPt>
            <c:idx val="2"/>
            <c:invertIfNegative val="0"/>
            <c:bubble3D val="0"/>
            <c:spPr>
              <a:solidFill>
                <a:srgbClr val="70AD47"/>
              </a:solidFill>
              <a:ln w="0">
                <a:solidFill>
                  <a:srgbClr val="000000"/>
                </a:solidFill>
              </a:ln>
            </c:spPr>
            <c:extLst>
              <c:ext xmlns:c16="http://schemas.microsoft.com/office/drawing/2014/chart" uri="{C3380CC4-5D6E-409C-BE32-E72D297353CC}">
                <c16:uniqueId val="{00000005-6C18-4A88-AEBF-3C8CFC4BCF24}"/>
              </c:ext>
            </c:extLst>
          </c:dPt>
          <c:dPt>
            <c:idx val="3"/>
            <c:invertIfNegative val="0"/>
            <c:bubble3D val="0"/>
            <c:spPr>
              <a:solidFill>
                <a:srgbClr val="D98C5F"/>
              </a:solidFill>
              <a:ln w="0">
                <a:solidFill>
                  <a:srgbClr val="000000"/>
                </a:solidFill>
              </a:ln>
            </c:spPr>
            <c:extLst>
              <c:ext xmlns:c16="http://schemas.microsoft.com/office/drawing/2014/chart" uri="{C3380CC4-5D6E-409C-BE32-E72D297353CC}">
                <c16:uniqueId val="{00000007-6C18-4A88-AEBF-3C8CFC4BCF24}"/>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6C18-4A88-AEBF-3C8CFC4BCF24}"/>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6C18-4A88-AEBF-3C8CFC4BCF24}"/>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6C18-4A88-AEBF-3C8CFC4BCF24}"/>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6C18-4A88-AEBF-3C8CFC4BCF24}"/>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Charts!$A$6:$A$9</c:f>
              <c:strCache>
                <c:ptCount val="4"/>
                <c:pt idx="0">
                  <c:v>GPT 4o mini</c:v>
                </c:pt>
                <c:pt idx="1">
                  <c:v>GPT 5.6 Luna</c:v>
                </c:pt>
                <c:pt idx="2">
                  <c:v>GLM 5.3 Flash</c:v>
                </c:pt>
                <c:pt idx="3">
                  <c:v>Claude Sonnet 5.5</c:v>
                </c:pt>
              </c:strCache>
            </c:strRef>
          </c:cat>
          <c:val>
            <c:numRef>
              <c:f>Charts!$C$6:$C$9</c:f>
              <c:numCache>
                <c:formatCode>\$0.0000</c:formatCode>
                <c:ptCount val="4"/>
                <c:pt idx="0">
                  <c:v>3.7940000000000001E-4</c:v>
                </c:pt>
                <c:pt idx="1">
                  <c:v>1.0662666666666667E-3</c:v>
                </c:pt>
                <c:pt idx="2">
                  <c:v>1.2307458333333334E-3</c:v>
                </c:pt>
                <c:pt idx="3">
                  <c:v>1.2610666666666666E-2</c:v>
                </c:pt>
              </c:numCache>
            </c:numRef>
          </c:val>
          <c:extLst>
            <c:ext xmlns:c16="http://schemas.microsoft.com/office/drawing/2014/chart" uri="{C3380CC4-5D6E-409C-BE32-E72D297353CC}">
              <c16:uniqueId val="{00000008-6C18-4A88-AEBF-3C8CFC4BCF24}"/>
            </c:ext>
          </c:extLst>
        </c:ser>
        <c:dLbls>
          <c:showLegendKey val="0"/>
          <c:showVal val="0"/>
          <c:showCatName val="0"/>
          <c:showSerName val="0"/>
          <c:showPercent val="0"/>
          <c:showBubbleSize val="0"/>
        </c:dLbls>
        <c:gapWidth val="60"/>
        <c:axId val="13113249"/>
        <c:axId val="57204830"/>
      </c:barChart>
      <c:catAx>
        <c:axId val="13113249"/>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57204830"/>
        <c:crosses val="autoZero"/>
        <c:auto val="1"/>
        <c:lblAlgn val="ctr"/>
        <c:lblOffset val="100"/>
        <c:noMultiLvlLbl val="0"/>
      </c:catAx>
      <c:valAx>
        <c:axId val="57204830"/>
        <c:scaling>
          <c:orientation val="minMax"/>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311324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Extraction: Output coverage</a:t>
            </a:r>
          </a:p>
        </c:rich>
      </c:tx>
      <c:overlay val="0"/>
      <c:spPr>
        <a:noFill/>
        <a:ln w="0">
          <a:noFill/>
        </a:ln>
      </c:spPr>
    </c:title>
    <c:autoTitleDeleted val="0"/>
    <c:plotArea>
      <c:layout/>
      <c:barChart>
        <c:barDir val="col"/>
        <c:grouping val="clustered"/>
        <c:varyColors val="0"/>
        <c:ser>
          <c:idx val="0"/>
          <c:order val="0"/>
          <c:tx>
            <c:strRef>
              <c:f>Charts!$D$5</c:f>
              <c:strCache>
                <c:ptCount val="1"/>
                <c:pt idx="0">
                  <c:v>Output coverage (%)</c:v>
                </c:pt>
              </c:strCache>
            </c:strRef>
          </c:tx>
          <c:spPr>
            <a:solidFill>
              <a:srgbClr val="6B4F35"/>
            </a:solidFill>
            <a:ln w="0">
              <a:solidFill>
                <a:srgbClr val="000000"/>
              </a:solidFill>
            </a:ln>
          </c:spPr>
          <c:invertIfNegative val="0"/>
          <c:dPt>
            <c:idx val="0"/>
            <c:invertIfNegative val="0"/>
            <c:bubble3D val="0"/>
            <c:spPr>
              <a:solidFill>
                <a:srgbClr val="8FAADC"/>
              </a:solidFill>
              <a:ln w="0">
                <a:solidFill>
                  <a:srgbClr val="000000"/>
                </a:solidFill>
              </a:ln>
            </c:spPr>
            <c:extLst>
              <c:ext xmlns:c16="http://schemas.microsoft.com/office/drawing/2014/chart" uri="{C3380CC4-5D6E-409C-BE32-E72D297353CC}">
                <c16:uniqueId val="{00000001-DFE0-4F49-B055-5CCDB5FCECF2}"/>
              </c:ext>
            </c:extLst>
          </c:dPt>
          <c:dPt>
            <c:idx val="1"/>
            <c:invertIfNegative val="0"/>
            <c:bubble3D val="0"/>
            <c:spPr>
              <a:solidFill>
                <a:srgbClr val="2F5597"/>
              </a:solidFill>
              <a:ln w="0">
                <a:solidFill>
                  <a:srgbClr val="000000"/>
                </a:solidFill>
              </a:ln>
            </c:spPr>
            <c:extLst>
              <c:ext xmlns:c16="http://schemas.microsoft.com/office/drawing/2014/chart" uri="{C3380CC4-5D6E-409C-BE32-E72D297353CC}">
                <c16:uniqueId val="{00000003-DFE0-4F49-B055-5CCDB5FCECF2}"/>
              </c:ext>
            </c:extLst>
          </c:dPt>
          <c:dPt>
            <c:idx val="2"/>
            <c:invertIfNegative val="0"/>
            <c:bubble3D val="0"/>
            <c:spPr>
              <a:solidFill>
                <a:srgbClr val="70AD47"/>
              </a:solidFill>
              <a:ln w="0">
                <a:solidFill>
                  <a:srgbClr val="000000"/>
                </a:solidFill>
              </a:ln>
            </c:spPr>
            <c:extLst>
              <c:ext xmlns:c16="http://schemas.microsoft.com/office/drawing/2014/chart" uri="{C3380CC4-5D6E-409C-BE32-E72D297353CC}">
                <c16:uniqueId val="{00000005-DFE0-4F49-B055-5CCDB5FCECF2}"/>
              </c:ext>
            </c:extLst>
          </c:dPt>
          <c:dPt>
            <c:idx val="3"/>
            <c:invertIfNegative val="0"/>
            <c:bubble3D val="0"/>
            <c:spPr>
              <a:solidFill>
                <a:srgbClr val="D98C5F"/>
              </a:solidFill>
              <a:ln w="0">
                <a:solidFill>
                  <a:srgbClr val="000000"/>
                </a:solidFill>
              </a:ln>
            </c:spPr>
            <c:extLst>
              <c:ext xmlns:c16="http://schemas.microsoft.com/office/drawing/2014/chart" uri="{C3380CC4-5D6E-409C-BE32-E72D297353CC}">
                <c16:uniqueId val="{00000007-DFE0-4F49-B055-5CCDB5FCECF2}"/>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FE0-4F49-B055-5CCDB5FCECF2}"/>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FE0-4F49-B055-5CCDB5FCECF2}"/>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FE0-4F49-B055-5CCDB5FCECF2}"/>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FE0-4F49-B055-5CCDB5FCECF2}"/>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Charts!$A$6:$A$9</c:f>
              <c:strCache>
                <c:ptCount val="4"/>
                <c:pt idx="0">
                  <c:v>GPT 4o mini</c:v>
                </c:pt>
                <c:pt idx="1">
                  <c:v>GPT 5.6 Luna</c:v>
                </c:pt>
                <c:pt idx="2">
                  <c:v>GLM 5.3 Flash</c:v>
                </c:pt>
                <c:pt idx="3">
                  <c:v>Claude Sonnet 5.5</c:v>
                </c:pt>
              </c:strCache>
            </c:strRef>
          </c:cat>
          <c:val>
            <c:numRef>
              <c:f>Charts!$D$6:$D$9</c:f>
              <c:numCache>
                <c:formatCode>0.0%</c:formatCode>
                <c:ptCount val="4"/>
                <c:pt idx="0">
                  <c:v>0.82653061224489799</c:v>
                </c:pt>
                <c:pt idx="1">
                  <c:v>0.82653061224489799</c:v>
                </c:pt>
                <c:pt idx="2">
                  <c:v>0.72448979591836737</c:v>
                </c:pt>
                <c:pt idx="3">
                  <c:v>0.81632653061224492</c:v>
                </c:pt>
              </c:numCache>
            </c:numRef>
          </c:val>
          <c:extLst>
            <c:ext xmlns:c16="http://schemas.microsoft.com/office/drawing/2014/chart" uri="{C3380CC4-5D6E-409C-BE32-E72D297353CC}">
              <c16:uniqueId val="{00000008-DFE0-4F49-B055-5CCDB5FCECF2}"/>
            </c:ext>
          </c:extLst>
        </c:ser>
        <c:dLbls>
          <c:showLegendKey val="0"/>
          <c:showVal val="0"/>
          <c:showCatName val="0"/>
          <c:showSerName val="0"/>
          <c:showPercent val="0"/>
          <c:showBubbleSize val="0"/>
        </c:dLbls>
        <c:gapWidth val="60"/>
        <c:axId val="10443195"/>
        <c:axId val="28445168"/>
      </c:barChart>
      <c:catAx>
        <c:axId val="10443195"/>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28445168"/>
        <c:crosses val="autoZero"/>
        <c:auto val="1"/>
        <c:lblAlgn val="ctr"/>
        <c:lblOffset val="100"/>
        <c:noMultiLvlLbl val="0"/>
      </c:catAx>
      <c:valAx>
        <c:axId val="28445168"/>
        <c:scaling>
          <c:orientation val="minMax"/>
          <c:max val="1"/>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 of expected fields filled</a:t>
                </a:r>
              </a:p>
            </c:rich>
          </c:tx>
          <c:overlay val="0"/>
          <c:spPr>
            <a:noFill/>
            <a:ln w="0">
              <a:noFill/>
            </a:ln>
          </c:spPr>
        </c:title>
        <c:numFmt formatCode="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0443195"/>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Reasoning: Avg latency per call</a:t>
            </a:r>
          </a:p>
        </c:rich>
      </c:tx>
      <c:overlay val="0"/>
      <c:spPr>
        <a:noFill/>
        <a:ln w="0">
          <a:noFill/>
        </a:ln>
      </c:spPr>
    </c:title>
    <c:autoTitleDeleted val="0"/>
    <c:plotArea>
      <c:layout/>
      <c:barChart>
        <c:barDir val="col"/>
        <c:grouping val="clustered"/>
        <c:varyColors val="0"/>
        <c:ser>
          <c:idx val="0"/>
          <c:order val="0"/>
          <c:tx>
            <c:strRef>
              <c:f>Charts!$B$29</c:f>
              <c:strCache>
                <c:ptCount val="1"/>
                <c:pt idx="0">
                  <c:v>Avg latency (sec)</c:v>
                </c:pt>
              </c:strCache>
            </c:strRef>
          </c:tx>
          <c:spPr>
            <a:solidFill>
              <a:srgbClr val="6B4F35"/>
            </a:solidFill>
            <a:ln w="0">
              <a:solidFill>
                <a:srgbClr val="000000"/>
              </a:solidFill>
            </a:ln>
          </c:spPr>
          <c:invertIfNegative val="0"/>
          <c:dPt>
            <c:idx val="0"/>
            <c:invertIfNegative val="0"/>
            <c:bubble3D val="0"/>
            <c:spPr>
              <a:solidFill>
                <a:srgbClr val="8FAADC"/>
              </a:solidFill>
              <a:ln w="0">
                <a:solidFill>
                  <a:srgbClr val="000000"/>
                </a:solidFill>
              </a:ln>
            </c:spPr>
            <c:extLst>
              <c:ext xmlns:c16="http://schemas.microsoft.com/office/drawing/2014/chart" uri="{C3380CC4-5D6E-409C-BE32-E72D297353CC}">
                <c16:uniqueId val="{00000001-D46E-4B73-9EAE-A1CBC1894283}"/>
              </c:ext>
            </c:extLst>
          </c:dPt>
          <c:dPt>
            <c:idx val="1"/>
            <c:invertIfNegative val="0"/>
            <c:bubble3D val="0"/>
            <c:spPr>
              <a:solidFill>
                <a:srgbClr val="D98C5F"/>
              </a:solidFill>
              <a:ln w="0">
                <a:solidFill>
                  <a:srgbClr val="000000"/>
                </a:solidFill>
              </a:ln>
            </c:spPr>
            <c:extLst>
              <c:ext xmlns:c16="http://schemas.microsoft.com/office/drawing/2014/chart" uri="{C3380CC4-5D6E-409C-BE32-E72D297353CC}">
                <c16:uniqueId val="{00000003-D46E-4B73-9EAE-A1CBC1894283}"/>
              </c:ext>
            </c:extLst>
          </c:dPt>
          <c:dPt>
            <c:idx val="2"/>
            <c:invertIfNegative val="0"/>
            <c:bubble3D val="0"/>
            <c:spPr>
              <a:solidFill>
                <a:srgbClr val="8C3B1F"/>
              </a:solidFill>
              <a:ln w="0">
                <a:solidFill>
                  <a:srgbClr val="000000"/>
                </a:solidFill>
              </a:ln>
            </c:spPr>
            <c:extLst>
              <c:ext xmlns:c16="http://schemas.microsoft.com/office/drawing/2014/chart" uri="{C3380CC4-5D6E-409C-BE32-E72D297353CC}">
                <c16:uniqueId val="{00000005-D46E-4B73-9EAE-A1CBC1894283}"/>
              </c:ext>
            </c:extLst>
          </c:dPt>
          <c:dPt>
            <c:idx val="3"/>
            <c:invertIfNegative val="0"/>
            <c:bubble3D val="0"/>
            <c:spPr>
              <a:solidFill>
                <a:srgbClr val="FFC000"/>
              </a:solidFill>
              <a:ln w="0">
                <a:solidFill>
                  <a:srgbClr val="000000"/>
                </a:solidFill>
              </a:ln>
            </c:spPr>
            <c:extLst>
              <c:ext xmlns:c16="http://schemas.microsoft.com/office/drawing/2014/chart" uri="{C3380CC4-5D6E-409C-BE32-E72D297353CC}">
                <c16:uniqueId val="{00000007-D46E-4B73-9EAE-A1CBC1894283}"/>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D46E-4B73-9EAE-A1CBC1894283}"/>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D46E-4B73-9EAE-A1CBC1894283}"/>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D46E-4B73-9EAE-A1CBC1894283}"/>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D46E-4B73-9EAE-A1CBC1894283}"/>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Charts!$A$30:$A$33</c:f>
              <c:strCache>
                <c:ptCount val="4"/>
                <c:pt idx="0">
                  <c:v>GPT 4o mini</c:v>
                </c:pt>
                <c:pt idx="1">
                  <c:v>Claude Sonnet 5.5</c:v>
                </c:pt>
                <c:pt idx="2">
                  <c:v>Claude Opus 5</c:v>
                </c:pt>
                <c:pt idx="3">
                  <c:v>Gemini 3.7 Flash</c:v>
                </c:pt>
              </c:strCache>
            </c:strRef>
          </c:cat>
          <c:val>
            <c:numRef>
              <c:f>Charts!$B$30:$B$33</c:f>
              <c:numCache>
                <c:formatCode>0.0</c:formatCode>
                <c:ptCount val="4"/>
                <c:pt idx="0">
                  <c:v>3.7858333333333327</c:v>
                </c:pt>
                <c:pt idx="1">
                  <c:v>4.4796666666666667</c:v>
                </c:pt>
                <c:pt idx="2">
                  <c:v>10.315333333333335</c:v>
                </c:pt>
                <c:pt idx="3">
                  <c:v>6.1026666666666669</c:v>
                </c:pt>
              </c:numCache>
            </c:numRef>
          </c:val>
          <c:extLst>
            <c:ext xmlns:c16="http://schemas.microsoft.com/office/drawing/2014/chart" uri="{C3380CC4-5D6E-409C-BE32-E72D297353CC}">
              <c16:uniqueId val="{00000008-D46E-4B73-9EAE-A1CBC1894283}"/>
            </c:ext>
          </c:extLst>
        </c:ser>
        <c:dLbls>
          <c:showLegendKey val="0"/>
          <c:showVal val="0"/>
          <c:showCatName val="0"/>
          <c:showSerName val="0"/>
          <c:showPercent val="0"/>
          <c:showBubbleSize val="0"/>
        </c:dLbls>
        <c:gapWidth val="60"/>
        <c:axId val="17652182"/>
        <c:axId val="96156457"/>
      </c:barChart>
      <c:catAx>
        <c:axId val="17652182"/>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96156457"/>
        <c:crosses val="autoZero"/>
        <c:auto val="1"/>
        <c:lblAlgn val="ctr"/>
        <c:lblOffset val="100"/>
        <c:noMultiLvlLbl val="0"/>
      </c:catAx>
      <c:valAx>
        <c:axId val="96156457"/>
        <c:scaling>
          <c:orientation val="minMax"/>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Seconds</a:t>
                </a:r>
              </a:p>
            </c:rich>
          </c:tx>
          <c:overlay val="0"/>
          <c:spPr>
            <a:noFill/>
            <a:ln w="0">
              <a:noFill/>
            </a:ln>
          </c:spPr>
        </c:title>
        <c:numFmt formatCode="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1765218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Reasoning: Avg cost per call</a:t>
            </a:r>
          </a:p>
        </c:rich>
      </c:tx>
      <c:overlay val="0"/>
      <c:spPr>
        <a:noFill/>
        <a:ln w="0">
          <a:noFill/>
        </a:ln>
      </c:spPr>
    </c:title>
    <c:autoTitleDeleted val="0"/>
    <c:plotArea>
      <c:layout/>
      <c:barChart>
        <c:barDir val="col"/>
        <c:grouping val="clustered"/>
        <c:varyColors val="0"/>
        <c:ser>
          <c:idx val="0"/>
          <c:order val="0"/>
          <c:tx>
            <c:strRef>
              <c:f>Charts!$C$29</c:f>
              <c:strCache>
                <c:ptCount val="1"/>
                <c:pt idx="0">
                  <c:v>Avg cost per call (USD)</c:v>
                </c:pt>
              </c:strCache>
            </c:strRef>
          </c:tx>
          <c:spPr>
            <a:solidFill>
              <a:srgbClr val="6B4F35"/>
            </a:solidFill>
            <a:ln w="0">
              <a:solidFill>
                <a:srgbClr val="000000"/>
              </a:solidFill>
            </a:ln>
          </c:spPr>
          <c:invertIfNegative val="0"/>
          <c:dPt>
            <c:idx val="0"/>
            <c:invertIfNegative val="0"/>
            <c:bubble3D val="0"/>
            <c:spPr>
              <a:solidFill>
                <a:srgbClr val="8FAADC"/>
              </a:solidFill>
              <a:ln w="0">
                <a:solidFill>
                  <a:srgbClr val="000000"/>
                </a:solidFill>
              </a:ln>
            </c:spPr>
            <c:extLst>
              <c:ext xmlns:c16="http://schemas.microsoft.com/office/drawing/2014/chart" uri="{C3380CC4-5D6E-409C-BE32-E72D297353CC}">
                <c16:uniqueId val="{00000001-F25B-42F5-AE7F-003B4913E904}"/>
              </c:ext>
            </c:extLst>
          </c:dPt>
          <c:dPt>
            <c:idx val="1"/>
            <c:invertIfNegative val="0"/>
            <c:bubble3D val="0"/>
            <c:spPr>
              <a:solidFill>
                <a:srgbClr val="D98C5F"/>
              </a:solidFill>
              <a:ln w="0">
                <a:solidFill>
                  <a:srgbClr val="000000"/>
                </a:solidFill>
              </a:ln>
            </c:spPr>
            <c:extLst>
              <c:ext xmlns:c16="http://schemas.microsoft.com/office/drawing/2014/chart" uri="{C3380CC4-5D6E-409C-BE32-E72D297353CC}">
                <c16:uniqueId val="{00000003-F25B-42F5-AE7F-003B4913E904}"/>
              </c:ext>
            </c:extLst>
          </c:dPt>
          <c:dPt>
            <c:idx val="2"/>
            <c:invertIfNegative val="0"/>
            <c:bubble3D val="0"/>
            <c:spPr>
              <a:solidFill>
                <a:srgbClr val="8C3B1F"/>
              </a:solidFill>
              <a:ln w="0">
                <a:solidFill>
                  <a:srgbClr val="000000"/>
                </a:solidFill>
              </a:ln>
            </c:spPr>
            <c:extLst>
              <c:ext xmlns:c16="http://schemas.microsoft.com/office/drawing/2014/chart" uri="{C3380CC4-5D6E-409C-BE32-E72D297353CC}">
                <c16:uniqueId val="{00000005-F25B-42F5-AE7F-003B4913E904}"/>
              </c:ext>
            </c:extLst>
          </c:dPt>
          <c:dPt>
            <c:idx val="3"/>
            <c:invertIfNegative val="0"/>
            <c:bubble3D val="0"/>
            <c:spPr>
              <a:solidFill>
                <a:srgbClr val="FFC000"/>
              </a:solidFill>
              <a:ln w="0">
                <a:solidFill>
                  <a:srgbClr val="000000"/>
                </a:solidFill>
              </a:ln>
            </c:spPr>
            <c:extLst>
              <c:ext xmlns:c16="http://schemas.microsoft.com/office/drawing/2014/chart" uri="{C3380CC4-5D6E-409C-BE32-E72D297353CC}">
                <c16:uniqueId val="{00000007-F25B-42F5-AE7F-003B4913E904}"/>
              </c:ext>
            </c:extLst>
          </c:dPt>
          <c:dLbls>
            <c:dLbl>
              <c:idx val="0"/>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F25B-42F5-AE7F-003B4913E904}"/>
                </c:ext>
              </c:extLst>
            </c:dLbl>
            <c:dLbl>
              <c:idx val="1"/>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F25B-42F5-AE7F-003B4913E904}"/>
                </c:ext>
              </c:extLst>
            </c:dLbl>
            <c:dLbl>
              <c:idx val="2"/>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F25B-42F5-AE7F-003B4913E904}"/>
                </c:ext>
              </c:extLst>
            </c:dLbl>
            <c:dLbl>
              <c:idx val="3"/>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F25B-42F5-AE7F-003B4913E904}"/>
                </c:ext>
              </c:extLst>
            </c:dLbl>
            <c:spPr>
              <a:noFill/>
              <a:ln>
                <a:noFill/>
              </a:ln>
              <a:effectLst/>
            </c:spPr>
            <c:txPr>
              <a:bodyPr wrap="square"/>
              <a:lstStyle/>
              <a:p>
                <a:pPr>
                  <a:defRPr sz="1000" b="0" strike="noStrike" spc="-1">
                    <a:solidFill>
                      <a:srgbClr val="000000"/>
                    </a:solidFill>
                    <a:latin typeface="Calibri"/>
                  </a:defRPr>
                </a:pPr>
                <a:endParaRPr lang="en-US"/>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Charts!$A$30:$A$33</c:f>
              <c:strCache>
                <c:ptCount val="4"/>
                <c:pt idx="0">
                  <c:v>GPT 4o mini</c:v>
                </c:pt>
                <c:pt idx="1">
                  <c:v>Claude Sonnet 5.5</c:v>
                </c:pt>
                <c:pt idx="2">
                  <c:v>Claude Opus 5</c:v>
                </c:pt>
                <c:pt idx="3">
                  <c:v>Gemini 3.7 Flash</c:v>
                </c:pt>
              </c:strCache>
            </c:strRef>
          </c:cat>
          <c:val>
            <c:numRef>
              <c:f>Charts!$C$30:$C$33</c:f>
              <c:numCache>
                <c:formatCode>\$0.0000</c:formatCode>
                <c:ptCount val="4"/>
                <c:pt idx="0">
                  <c:v>2.5450000000000001E-4</c:v>
                </c:pt>
                <c:pt idx="1">
                  <c:v>7.4243333333333323E-3</c:v>
                </c:pt>
                <c:pt idx="2">
                  <c:v>2.623416666666667E-2</c:v>
                </c:pt>
                <c:pt idx="3">
                  <c:v>3.5625000000000001E-3</c:v>
                </c:pt>
              </c:numCache>
            </c:numRef>
          </c:val>
          <c:extLst>
            <c:ext xmlns:c16="http://schemas.microsoft.com/office/drawing/2014/chart" uri="{C3380CC4-5D6E-409C-BE32-E72D297353CC}">
              <c16:uniqueId val="{00000008-F25B-42F5-AE7F-003B4913E904}"/>
            </c:ext>
          </c:extLst>
        </c:ser>
        <c:dLbls>
          <c:showLegendKey val="0"/>
          <c:showVal val="0"/>
          <c:showCatName val="0"/>
          <c:showSerName val="0"/>
          <c:showPercent val="0"/>
          <c:showBubbleSize val="0"/>
        </c:dLbls>
        <c:gapWidth val="60"/>
        <c:axId val="64575100"/>
        <c:axId val="6225617"/>
      </c:barChart>
      <c:catAx>
        <c:axId val="64575100"/>
        <c:scaling>
          <c:orientation val="minMax"/>
        </c:scaling>
        <c:delete val="0"/>
        <c:axPos val="b"/>
        <c:numFmt formatCode="General" sourceLinked="1"/>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225617"/>
        <c:crosses val="autoZero"/>
        <c:auto val="1"/>
        <c:lblAlgn val="ctr"/>
        <c:lblOffset val="100"/>
        <c:noMultiLvlLbl val="0"/>
      </c:catAx>
      <c:valAx>
        <c:axId val="6225617"/>
        <c:scaling>
          <c:orientation val="minMax"/>
          <c:min val="0"/>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n-US" sz="1000" b="1" strike="noStrike" spc="-1">
                    <a:solidFill>
                      <a:srgbClr val="000000"/>
                    </a:solidFill>
                    <a:latin typeface="Calibri"/>
                  </a:rPr>
                  <a:t>USD</a:t>
                </a:r>
              </a:p>
            </c:rich>
          </c:tx>
          <c:overlay val="0"/>
          <c:spPr>
            <a:noFill/>
            <a:ln w="0">
              <a:noFill/>
            </a:ln>
          </c:spPr>
        </c:title>
        <c:numFmt formatCode="\$0.000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n-US"/>
          </a:p>
        </c:txPr>
        <c:crossAx val="6457510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9</xdr:row>
      <xdr:rowOff>130680</xdr:rowOff>
    </xdr:from>
    <xdr:to>
      <xdr:col>3</xdr:col>
      <xdr:colOff>372600</xdr:colOff>
      <xdr:row>24</xdr:row>
      <xdr:rowOff>153000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0</xdr:colOff>
      <xdr:row>9</xdr:row>
      <xdr:rowOff>130680</xdr:rowOff>
    </xdr:from>
    <xdr:to>
      <xdr:col>11</xdr:col>
      <xdr:colOff>513360</xdr:colOff>
      <xdr:row>24</xdr:row>
      <xdr:rowOff>153000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0</xdr:colOff>
      <xdr:row>9</xdr:row>
      <xdr:rowOff>130680</xdr:rowOff>
    </xdr:from>
    <xdr:to>
      <xdr:col>18</xdr:col>
      <xdr:colOff>513360</xdr:colOff>
      <xdr:row>24</xdr:row>
      <xdr:rowOff>153000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33</xdr:row>
      <xdr:rowOff>130680</xdr:rowOff>
    </xdr:from>
    <xdr:to>
      <xdr:col>3</xdr:col>
      <xdr:colOff>372600</xdr:colOff>
      <xdr:row>48</xdr:row>
      <xdr:rowOff>152640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0</xdr:colOff>
      <xdr:row>33</xdr:row>
      <xdr:rowOff>130680</xdr:rowOff>
    </xdr:from>
    <xdr:to>
      <xdr:col>11</xdr:col>
      <xdr:colOff>513360</xdr:colOff>
      <xdr:row>48</xdr:row>
      <xdr:rowOff>152640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
  <sheetViews>
    <sheetView workbookViewId="0">
      <selection activeCell="C5" sqref="C5"/>
    </sheetView>
  </sheetViews>
  <sheetFormatPr defaultRowHeight="15" x14ac:dyDescent="0.25"/>
  <cols>
    <col min="1" max="1" width="12.85546875" bestFit="1" customWidth="1"/>
    <col min="2" max="2" width="10.7109375" customWidth="1"/>
    <col min="3" max="3" width="85.5703125" customWidth="1"/>
  </cols>
  <sheetData>
    <row r="1" spans="1:3" x14ac:dyDescent="0.25">
      <c r="A1" s="20" t="s">
        <v>442</v>
      </c>
      <c r="B1" s="20" t="s">
        <v>427</v>
      </c>
      <c r="C1" s="20" t="s">
        <v>14</v>
      </c>
    </row>
    <row r="2" spans="1:3" ht="105" x14ac:dyDescent="0.25">
      <c r="A2" s="21" t="s">
        <v>19</v>
      </c>
      <c r="B2" s="21" t="s">
        <v>443</v>
      </c>
      <c r="C2" s="22" t="s">
        <v>444</v>
      </c>
    </row>
    <row r="3" spans="1:3" ht="120" x14ac:dyDescent="0.25">
      <c r="A3" s="21" t="s">
        <v>19</v>
      </c>
      <c r="B3" s="21" t="s">
        <v>443</v>
      </c>
      <c r="C3" s="22" t="s">
        <v>445</v>
      </c>
    </row>
    <row r="4" spans="1:3" x14ac:dyDescent="0.25">
      <c r="A4" s="23"/>
      <c r="B4" s="23"/>
      <c r="C4" s="23"/>
    </row>
    <row r="5" spans="1:3" ht="240" x14ac:dyDescent="0.25">
      <c r="A5" s="21" t="s">
        <v>134</v>
      </c>
      <c r="B5" s="21" t="s">
        <v>443</v>
      </c>
      <c r="C5" s="22" t="s">
        <v>446</v>
      </c>
    </row>
    <row r="6" spans="1:3" ht="255" x14ac:dyDescent="0.25">
      <c r="A6" s="21" t="s">
        <v>134</v>
      </c>
      <c r="B6" s="21" t="s">
        <v>443</v>
      </c>
      <c r="C6" s="22" t="s">
        <v>447</v>
      </c>
    </row>
    <row r="7" spans="1:3" x14ac:dyDescent="0.25">
      <c r="A7" s="23"/>
      <c r="B7" s="23"/>
      <c r="C7" s="23"/>
    </row>
    <row r="8" spans="1:3" ht="409.5" x14ac:dyDescent="0.25">
      <c r="A8" s="21" t="s">
        <v>448</v>
      </c>
      <c r="B8" s="21" t="s">
        <v>443</v>
      </c>
      <c r="C8" s="22" t="s">
        <v>449</v>
      </c>
    </row>
    <row r="9" spans="1:3" ht="409.5" x14ac:dyDescent="0.25">
      <c r="A9" s="21" t="s">
        <v>448</v>
      </c>
      <c r="B9" s="21" t="s">
        <v>443</v>
      </c>
      <c r="C9" s="24" t="s">
        <v>450</v>
      </c>
    </row>
    <row r="10" spans="1:3" ht="15.75" x14ac:dyDescent="0.25">
      <c r="C10" s="24"/>
    </row>
    <row r="11" spans="1:3" ht="15.75" x14ac:dyDescent="0.25">
      <c r="C11" s="24"/>
    </row>
    <row r="12" spans="1:3" ht="15.75" x14ac:dyDescent="0.25">
      <c r="C12" s="24"/>
    </row>
    <row r="13" spans="1:3" ht="15.75" x14ac:dyDescent="0.25">
      <c r="C13" s="24"/>
    </row>
    <row r="14" spans="1:3" ht="15.75" x14ac:dyDescent="0.25">
      <c r="C14" s="24"/>
    </row>
    <row r="15" spans="1:3" ht="15.75" x14ac:dyDescent="0.25">
      <c r="C15" s="24"/>
    </row>
    <row r="16" spans="1:3" ht="15.75" x14ac:dyDescent="0.25">
      <c r="C16" s="24"/>
    </row>
    <row r="17" spans="3:3" ht="15.75" x14ac:dyDescent="0.25">
      <c r="C17" s="24"/>
    </row>
    <row r="18" spans="3:3" ht="15.75" x14ac:dyDescent="0.25">
      <c r="C18" s="24"/>
    </row>
    <row r="19" spans="3:3" ht="15.75" x14ac:dyDescent="0.25">
      <c r="C19" s="24"/>
    </row>
    <row r="20" spans="3:3" ht="15.75" x14ac:dyDescent="0.25">
      <c r="C20" s="24"/>
    </row>
    <row r="21" spans="3:3" ht="15.75" x14ac:dyDescent="0.25">
      <c r="C21" s="24"/>
    </row>
    <row r="22" spans="3:3" ht="15.75" x14ac:dyDescent="0.25">
      <c r="C22" s="24"/>
    </row>
    <row r="23" spans="3:3" ht="15.75" x14ac:dyDescent="0.25">
      <c r="C23" s="24"/>
    </row>
    <row r="24" spans="3:3" ht="15.75" x14ac:dyDescent="0.25">
      <c r="C24" s="24"/>
    </row>
    <row r="25" spans="3:3" ht="15.75" x14ac:dyDescent="0.25">
      <c r="C25" s="2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4F35"/>
  </sheetPr>
  <dimension ref="A1:H128"/>
  <sheetViews>
    <sheetView zoomScaleNormal="100" workbookViewId="0">
      <pane xSplit="4" ySplit="1" topLeftCell="E23" activePane="bottomRight" state="frozen"/>
      <selection pane="topRight" activeCell="E1" sqref="E1"/>
      <selection pane="bottomLeft" activeCell="A2" sqref="A2"/>
      <selection pane="bottomRight" activeCell="C9" sqref="C9"/>
    </sheetView>
  </sheetViews>
  <sheetFormatPr defaultColWidth="8.7109375" defaultRowHeight="15" x14ac:dyDescent="0.25"/>
  <cols>
    <col min="1" max="1" width="11" style="8" customWidth="1"/>
    <col min="2" max="2" width="12" style="8" customWidth="1"/>
    <col min="3" max="3" width="26" style="8" customWidth="1"/>
    <col min="4" max="4" width="42" style="8" customWidth="1"/>
    <col min="5" max="8" width="38" style="8" customWidth="1"/>
  </cols>
  <sheetData>
    <row r="1" spans="1:8" x14ac:dyDescent="0.25">
      <c r="A1" s="9" t="s">
        <v>14</v>
      </c>
      <c r="B1" s="9" t="s">
        <v>15</v>
      </c>
      <c r="C1" s="9" t="s">
        <v>16</v>
      </c>
      <c r="D1" s="9" t="s">
        <v>17</v>
      </c>
      <c r="E1" s="9" t="s">
        <v>7</v>
      </c>
      <c r="F1" s="9" t="s">
        <v>8</v>
      </c>
      <c r="G1" s="9" t="s">
        <v>9</v>
      </c>
      <c r="H1" s="9" t="s">
        <v>10</v>
      </c>
    </row>
    <row r="2" spans="1:8" x14ac:dyDescent="0.25">
      <c r="A2" s="10" t="s">
        <v>18</v>
      </c>
      <c r="B2" s="10" t="s">
        <v>19</v>
      </c>
      <c r="C2" s="11" t="s">
        <v>20</v>
      </c>
      <c r="D2" s="12" t="s">
        <v>21</v>
      </c>
      <c r="E2" s="13" t="s">
        <v>21</v>
      </c>
      <c r="F2" s="13"/>
      <c r="G2" s="13"/>
      <c r="H2" s="13"/>
    </row>
    <row r="3" spans="1:8" x14ac:dyDescent="0.25">
      <c r="A3" s="14" t="s">
        <v>18</v>
      </c>
      <c r="B3" s="14" t="s">
        <v>19</v>
      </c>
      <c r="C3" s="15" t="s">
        <v>22</v>
      </c>
      <c r="D3" s="12" t="s">
        <v>23</v>
      </c>
      <c r="E3" s="16" t="s">
        <v>24</v>
      </c>
      <c r="F3" s="16"/>
      <c r="G3" s="16"/>
      <c r="H3" s="16"/>
    </row>
    <row r="4" spans="1:8" x14ac:dyDescent="0.25">
      <c r="A4" s="10" t="s">
        <v>18</v>
      </c>
      <c r="B4" s="10" t="s">
        <v>19</v>
      </c>
      <c r="C4" s="11" t="s">
        <v>25</v>
      </c>
      <c r="D4" s="12" t="s">
        <v>26</v>
      </c>
      <c r="E4" s="13" t="s">
        <v>27</v>
      </c>
      <c r="F4" s="13" t="s">
        <v>28</v>
      </c>
      <c r="G4" s="13"/>
      <c r="H4" s="13"/>
    </row>
    <row r="5" spans="1:8" x14ac:dyDescent="0.25">
      <c r="A5" s="14" t="s">
        <v>18</v>
      </c>
      <c r="B5" s="14" t="s">
        <v>19</v>
      </c>
      <c r="C5" s="15" t="s">
        <v>29</v>
      </c>
      <c r="D5" s="12" t="s">
        <v>30</v>
      </c>
      <c r="E5" s="16"/>
      <c r="F5" s="16"/>
      <c r="G5" s="16"/>
      <c r="H5" s="16"/>
    </row>
    <row r="6" spans="1:8" x14ac:dyDescent="0.25">
      <c r="A6" s="10" t="s">
        <v>18</v>
      </c>
      <c r="B6" s="10" t="s">
        <v>19</v>
      </c>
      <c r="C6" s="11" t="s">
        <v>31</v>
      </c>
      <c r="D6" s="12" t="s">
        <v>32</v>
      </c>
      <c r="E6" s="13"/>
      <c r="F6" s="13"/>
      <c r="G6" s="13"/>
      <c r="H6" s="13"/>
    </row>
    <row r="7" spans="1:8" x14ac:dyDescent="0.25">
      <c r="A7" s="14" t="s">
        <v>18</v>
      </c>
      <c r="B7" s="14" t="s">
        <v>19</v>
      </c>
      <c r="C7" s="15" t="s">
        <v>33</v>
      </c>
      <c r="D7" s="12"/>
      <c r="E7" s="16" t="s">
        <v>34</v>
      </c>
      <c r="F7" s="16"/>
      <c r="G7" s="16"/>
      <c r="H7" s="16"/>
    </row>
    <row r="8" spans="1:8" ht="25.5" x14ac:dyDescent="0.25">
      <c r="A8" s="10" t="s">
        <v>18</v>
      </c>
      <c r="B8" s="10" t="s">
        <v>19</v>
      </c>
      <c r="C8" s="11" t="s">
        <v>35</v>
      </c>
      <c r="D8" s="12" t="s">
        <v>36</v>
      </c>
      <c r="E8" s="13" t="s">
        <v>37</v>
      </c>
      <c r="F8" s="13" t="s">
        <v>38</v>
      </c>
      <c r="G8" s="13"/>
      <c r="H8" s="13" t="s">
        <v>38</v>
      </c>
    </row>
    <row r="9" spans="1:8" x14ac:dyDescent="0.25">
      <c r="A9" s="14" t="s">
        <v>18</v>
      </c>
      <c r="B9" s="14" t="s">
        <v>19</v>
      </c>
      <c r="C9" s="15" t="s">
        <v>39</v>
      </c>
      <c r="D9" s="12" t="s">
        <v>40</v>
      </c>
      <c r="E9" s="16"/>
      <c r="F9" s="16"/>
      <c r="G9" s="16"/>
      <c r="H9" s="16"/>
    </row>
    <row r="10" spans="1:8" ht="38.25" x14ac:dyDescent="0.25">
      <c r="A10" s="10" t="s">
        <v>18</v>
      </c>
      <c r="B10" s="10" t="s">
        <v>19</v>
      </c>
      <c r="C10" s="11" t="s">
        <v>41</v>
      </c>
      <c r="D10" s="12" t="s">
        <v>42</v>
      </c>
      <c r="E10" s="13" t="s">
        <v>43</v>
      </c>
      <c r="F10" s="13" t="s">
        <v>44</v>
      </c>
      <c r="G10" s="13"/>
      <c r="H10" s="13" t="s">
        <v>45</v>
      </c>
    </row>
    <row r="11" spans="1:8" x14ac:dyDescent="0.25">
      <c r="A11" s="14" t="s">
        <v>18</v>
      </c>
      <c r="B11" s="14" t="s">
        <v>19</v>
      </c>
      <c r="C11" s="15" t="s">
        <v>46</v>
      </c>
      <c r="D11" s="12" t="s">
        <v>40</v>
      </c>
      <c r="E11" s="16"/>
      <c r="F11" s="16"/>
      <c r="G11" s="16"/>
      <c r="H11" s="16"/>
    </row>
    <row r="12" spans="1:8" ht="51" x14ac:dyDescent="0.25">
      <c r="A12" s="10" t="s">
        <v>18</v>
      </c>
      <c r="B12" s="10" t="s">
        <v>19</v>
      </c>
      <c r="C12" s="11" t="s">
        <v>47</v>
      </c>
      <c r="D12" s="12" t="s">
        <v>48</v>
      </c>
      <c r="E12" s="13"/>
      <c r="F12" s="13"/>
      <c r="G12" s="13"/>
      <c r="H12" s="13" t="s">
        <v>49</v>
      </c>
    </row>
    <row r="13" spans="1:8" x14ac:dyDescent="0.25">
      <c r="A13" s="14" t="s">
        <v>18</v>
      </c>
      <c r="B13" s="14" t="s">
        <v>19</v>
      </c>
      <c r="C13" s="15" t="s">
        <v>50</v>
      </c>
      <c r="D13" s="12"/>
      <c r="E13" s="16"/>
      <c r="F13" s="16"/>
      <c r="G13" s="16"/>
      <c r="H13" s="16"/>
    </row>
    <row r="14" spans="1:8" ht="25.5" x14ac:dyDescent="0.25">
      <c r="A14" s="14" t="s">
        <v>18</v>
      </c>
      <c r="B14" s="14" t="s">
        <v>19</v>
      </c>
      <c r="C14" s="15" t="s">
        <v>53</v>
      </c>
      <c r="D14" s="12"/>
      <c r="E14" s="16" t="s">
        <v>54</v>
      </c>
      <c r="F14" s="16" t="s">
        <v>55</v>
      </c>
      <c r="G14" s="16"/>
      <c r="H14" s="16" t="s">
        <v>56</v>
      </c>
    </row>
    <row r="15" spans="1:8" x14ac:dyDescent="0.25">
      <c r="A15" s="10" t="s">
        <v>18</v>
      </c>
      <c r="B15" s="10" t="s">
        <v>19</v>
      </c>
      <c r="C15" s="11" t="s">
        <v>57</v>
      </c>
      <c r="D15" s="12"/>
      <c r="E15" s="13" t="s">
        <v>58</v>
      </c>
      <c r="F15" s="13"/>
      <c r="G15" s="13"/>
      <c r="H15" s="13"/>
    </row>
    <row r="16" spans="1:8" x14ac:dyDescent="0.25">
      <c r="A16" s="14" t="s">
        <v>18</v>
      </c>
      <c r="B16" s="14" t="s">
        <v>19</v>
      </c>
      <c r="C16" s="15" t="s">
        <v>59</v>
      </c>
      <c r="D16" s="12" t="s">
        <v>40</v>
      </c>
      <c r="E16" s="16"/>
      <c r="F16" s="16"/>
      <c r="G16" s="16"/>
      <c r="H16" s="16"/>
    </row>
    <row r="17" spans="1:8" x14ac:dyDescent="0.25">
      <c r="A17" s="10" t="s">
        <v>18</v>
      </c>
      <c r="B17" s="10" t="s">
        <v>19</v>
      </c>
      <c r="C17" s="11" t="s">
        <v>60</v>
      </c>
      <c r="D17" s="12" t="s">
        <v>61</v>
      </c>
      <c r="E17" s="13" t="s">
        <v>62</v>
      </c>
      <c r="F17" s="13" t="s">
        <v>62</v>
      </c>
      <c r="G17" s="13"/>
      <c r="H17" s="13" t="s">
        <v>62</v>
      </c>
    </row>
    <row r="18" spans="1:8" x14ac:dyDescent="0.25">
      <c r="A18" s="14" t="s">
        <v>18</v>
      </c>
      <c r="B18" s="14" t="s">
        <v>19</v>
      </c>
      <c r="C18" s="15" t="s">
        <v>63</v>
      </c>
      <c r="D18" s="12" t="s">
        <v>64</v>
      </c>
      <c r="E18" s="16" t="s">
        <v>65</v>
      </c>
      <c r="F18" s="16" t="s">
        <v>65</v>
      </c>
      <c r="G18" s="16"/>
      <c r="H18" s="16" t="s">
        <v>65</v>
      </c>
    </row>
    <row r="19" spans="1:8" ht="25.5" x14ac:dyDescent="0.25">
      <c r="A19" s="10" t="s">
        <v>18</v>
      </c>
      <c r="B19" s="10" t="s">
        <v>19</v>
      </c>
      <c r="C19" s="11" t="s">
        <v>66</v>
      </c>
      <c r="D19" s="12"/>
      <c r="E19" s="13" t="s">
        <v>67</v>
      </c>
      <c r="F19" s="13" t="s">
        <v>68</v>
      </c>
      <c r="G19" s="13"/>
      <c r="H19" s="13" t="s">
        <v>67</v>
      </c>
    </row>
    <row r="20" spans="1:8" ht="63.75" x14ac:dyDescent="0.25">
      <c r="A20" s="14" t="s">
        <v>18</v>
      </c>
      <c r="B20" s="14" t="s">
        <v>19</v>
      </c>
      <c r="C20" s="15" t="s">
        <v>69</v>
      </c>
      <c r="D20" s="12" t="s">
        <v>70</v>
      </c>
      <c r="E20" s="16" t="s">
        <v>71</v>
      </c>
      <c r="F20" s="16" t="s">
        <v>72</v>
      </c>
      <c r="G20" s="16"/>
      <c r="H20" s="16" t="s">
        <v>73</v>
      </c>
    </row>
    <row r="21" spans="1:8" x14ac:dyDescent="0.25">
      <c r="A21" s="10" t="s">
        <v>18</v>
      </c>
      <c r="B21" s="10" t="s">
        <v>19</v>
      </c>
      <c r="C21" s="11" t="s">
        <v>74</v>
      </c>
      <c r="D21" s="12"/>
      <c r="E21" s="13"/>
      <c r="F21" s="13"/>
      <c r="G21" s="13"/>
      <c r="H21" s="13"/>
    </row>
    <row r="22" spans="1:8" ht="25.5" x14ac:dyDescent="0.25">
      <c r="A22" s="14" t="s">
        <v>18</v>
      </c>
      <c r="B22" s="14" t="s">
        <v>19</v>
      </c>
      <c r="C22" s="15" t="s">
        <v>75</v>
      </c>
      <c r="D22" s="12" t="s">
        <v>76</v>
      </c>
      <c r="E22" s="16" t="s">
        <v>77</v>
      </c>
      <c r="F22" s="16" t="s">
        <v>78</v>
      </c>
      <c r="G22" s="16"/>
      <c r="H22" s="16" t="s">
        <v>79</v>
      </c>
    </row>
    <row r="23" spans="1:8" x14ac:dyDescent="0.25">
      <c r="A23" s="10" t="s">
        <v>18</v>
      </c>
      <c r="B23" s="10" t="s">
        <v>19</v>
      </c>
      <c r="C23" s="11" t="s">
        <v>80</v>
      </c>
      <c r="D23" s="12"/>
      <c r="E23" s="13" t="s">
        <v>81</v>
      </c>
      <c r="F23" s="13" t="s">
        <v>81</v>
      </c>
      <c r="G23" s="13"/>
      <c r="H23" s="13" t="s">
        <v>81</v>
      </c>
    </row>
    <row r="24" spans="1:8" x14ac:dyDescent="0.25">
      <c r="A24" s="10" t="s">
        <v>82</v>
      </c>
      <c r="B24" s="10" t="s">
        <v>19</v>
      </c>
      <c r="C24" s="11" t="s">
        <v>20</v>
      </c>
      <c r="D24" s="12" t="s">
        <v>21</v>
      </c>
      <c r="E24" s="13" t="s">
        <v>83</v>
      </c>
      <c r="F24" s="13"/>
      <c r="G24" s="13"/>
      <c r="H24" s="13"/>
    </row>
    <row r="25" spans="1:8" x14ac:dyDescent="0.25">
      <c r="A25" s="14" t="s">
        <v>82</v>
      </c>
      <c r="B25" s="14" t="s">
        <v>19</v>
      </c>
      <c r="C25" s="15" t="s">
        <v>22</v>
      </c>
      <c r="D25" s="12" t="s">
        <v>84</v>
      </c>
      <c r="E25" s="16" t="s">
        <v>85</v>
      </c>
      <c r="F25" s="16"/>
      <c r="G25" s="16"/>
      <c r="H25" s="16"/>
    </row>
    <row r="26" spans="1:8" x14ac:dyDescent="0.25">
      <c r="A26" s="10" t="s">
        <v>82</v>
      </c>
      <c r="B26" s="10" t="s">
        <v>19</v>
      </c>
      <c r="C26" s="11" t="s">
        <v>25</v>
      </c>
      <c r="D26" s="12" t="s">
        <v>86</v>
      </c>
      <c r="E26" s="13"/>
      <c r="F26" s="13"/>
      <c r="G26" s="13"/>
      <c r="H26" s="13"/>
    </row>
    <row r="27" spans="1:8" ht="25.5" x14ac:dyDescent="0.25">
      <c r="A27" s="14" t="s">
        <v>82</v>
      </c>
      <c r="B27" s="14" t="s">
        <v>19</v>
      </c>
      <c r="C27" s="15" t="s">
        <v>29</v>
      </c>
      <c r="D27" s="12" t="s">
        <v>87</v>
      </c>
      <c r="E27" s="16" t="s">
        <v>88</v>
      </c>
      <c r="F27" s="16" t="s">
        <v>89</v>
      </c>
      <c r="G27" s="16" t="s">
        <v>90</v>
      </c>
      <c r="H27" s="16" t="s">
        <v>87</v>
      </c>
    </row>
    <row r="28" spans="1:8" x14ac:dyDescent="0.25">
      <c r="A28" s="10" t="s">
        <v>82</v>
      </c>
      <c r="B28" s="10" t="s">
        <v>19</v>
      </c>
      <c r="C28" s="11" t="s">
        <v>31</v>
      </c>
      <c r="D28" s="12" t="s">
        <v>91</v>
      </c>
      <c r="E28" s="13"/>
      <c r="F28" s="13"/>
      <c r="G28" s="13"/>
      <c r="H28" s="13"/>
    </row>
    <row r="29" spans="1:8" x14ac:dyDescent="0.25">
      <c r="A29" s="14" t="s">
        <v>82</v>
      </c>
      <c r="B29" s="14" t="s">
        <v>19</v>
      </c>
      <c r="C29" s="15" t="s">
        <v>33</v>
      </c>
      <c r="D29" s="12"/>
      <c r="E29" s="16" t="s">
        <v>34</v>
      </c>
      <c r="F29" s="16"/>
      <c r="G29" s="16"/>
      <c r="H29" s="16"/>
    </row>
    <row r="30" spans="1:8" ht="25.5" x14ac:dyDescent="0.25">
      <c r="A30" s="10" t="s">
        <v>82</v>
      </c>
      <c r="B30" s="10" t="s">
        <v>19</v>
      </c>
      <c r="C30" s="11" t="s">
        <v>35</v>
      </c>
      <c r="D30" s="12" t="s">
        <v>92</v>
      </c>
      <c r="E30" s="13" t="s">
        <v>93</v>
      </c>
      <c r="F30" s="13" t="s">
        <v>94</v>
      </c>
      <c r="G30" s="13" t="s">
        <v>95</v>
      </c>
      <c r="H30" s="13" t="s">
        <v>96</v>
      </c>
    </row>
    <row r="31" spans="1:8" x14ac:dyDescent="0.25">
      <c r="A31" s="14" t="s">
        <v>82</v>
      </c>
      <c r="B31" s="14" t="s">
        <v>19</v>
      </c>
      <c r="C31" s="15" t="s">
        <v>39</v>
      </c>
      <c r="D31" s="12" t="s">
        <v>97</v>
      </c>
      <c r="E31" s="16"/>
      <c r="F31" s="16"/>
      <c r="G31" s="16"/>
      <c r="H31" s="16"/>
    </row>
    <row r="32" spans="1:8" x14ac:dyDescent="0.25">
      <c r="A32" s="10" t="s">
        <v>82</v>
      </c>
      <c r="B32" s="10" t="s">
        <v>19</v>
      </c>
      <c r="C32" s="11" t="s">
        <v>41</v>
      </c>
      <c r="D32" s="12" t="s">
        <v>98</v>
      </c>
      <c r="E32" s="13" t="s">
        <v>45</v>
      </c>
      <c r="F32" s="13" t="s">
        <v>45</v>
      </c>
      <c r="G32" s="13" t="s">
        <v>45</v>
      </c>
      <c r="H32" s="13" t="s">
        <v>45</v>
      </c>
    </row>
    <row r="33" spans="1:8" x14ac:dyDescent="0.25">
      <c r="A33" s="14" t="s">
        <v>82</v>
      </c>
      <c r="B33" s="14" t="s">
        <v>19</v>
      </c>
      <c r="C33" s="15" t="s">
        <v>46</v>
      </c>
      <c r="D33" s="12" t="s">
        <v>99</v>
      </c>
      <c r="E33" s="16" t="s">
        <v>100</v>
      </c>
      <c r="F33" s="16" t="s">
        <v>100</v>
      </c>
      <c r="G33" s="16" t="s">
        <v>100</v>
      </c>
      <c r="H33" s="16" t="s">
        <v>100</v>
      </c>
    </row>
    <row r="34" spans="1:8" ht="63.75" x14ac:dyDescent="0.25">
      <c r="A34" s="10" t="s">
        <v>82</v>
      </c>
      <c r="B34" s="10" t="s">
        <v>19</v>
      </c>
      <c r="C34" s="11" t="s">
        <v>47</v>
      </c>
      <c r="D34" s="12" t="s">
        <v>101</v>
      </c>
      <c r="E34" s="13" t="s">
        <v>102</v>
      </c>
      <c r="F34" s="13" t="s">
        <v>103</v>
      </c>
      <c r="G34" s="13" t="s">
        <v>104</v>
      </c>
      <c r="H34" s="13" t="s">
        <v>104</v>
      </c>
    </row>
    <row r="35" spans="1:8" x14ac:dyDescent="0.25">
      <c r="A35" s="14" t="s">
        <v>82</v>
      </c>
      <c r="B35" s="14" t="s">
        <v>19</v>
      </c>
      <c r="C35" s="15" t="s">
        <v>50</v>
      </c>
      <c r="D35" s="12"/>
      <c r="E35" s="16"/>
      <c r="F35" s="16"/>
      <c r="G35" s="16"/>
      <c r="H35" s="16"/>
    </row>
    <row r="36" spans="1:8" ht="38.25" x14ac:dyDescent="0.25">
      <c r="A36" s="14" t="s">
        <v>82</v>
      </c>
      <c r="B36" s="14" t="s">
        <v>19</v>
      </c>
      <c r="C36" s="15" t="s">
        <v>53</v>
      </c>
      <c r="D36" s="12"/>
      <c r="E36" s="16" t="s">
        <v>106</v>
      </c>
      <c r="F36" s="16" t="s">
        <v>107</v>
      </c>
      <c r="G36" s="16" t="s">
        <v>108</v>
      </c>
      <c r="H36" s="16" t="s">
        <v>109</v>
      </c>
    </row>
    <row r="37" spans="1:8" x14ac:dyDescent="0.25">
      <c r="A37" s="10" t="s">
        <v>82</v>
      </c>
      <c r="B37" s="10" t="s">
        <v>19</v>
      </c>
      <c r="C37" s="11" t="s">
        <v>57</v>
      </c>
      <c r="D37" s="12"/>
      <c r="E37" s="13"/>
      <c r="F37" s="13"/>
      <c r="G37" s="13"/>
      <c r="H37" s="13"/>
    </row>
    <row r="38" spans="1:8" x14ac:dyDescent="0.25">
      <c r="A38" s="14" t="s">
        <v>82</v>
      </c>
      <c r="B38" s="14" t="s">
        <v>19</v>
      </c>
      <c r="C38" s="15" t="s">
        <v>59</v>
      </c>
      <c r="D38" s="12" t="s">
        <v>110</v>
      </c>
      <c r="E38" s="16" t="s">
        <v>111</v>
      </c>
      <c r="F38" s="16" t="s">
        <v>111</v>
      </c>
      <c r="G38" s="16" t="s">
        <v>112</v>
      </c>
      <c r="H38" s="16" t="s">
        <v>112</v>
      </c>
    </row>
    <row r="39" spans="1:8" ht="25.5" x14ac:dyDescent="0.25">
      <c r="A39" s="10" t="s">
        <v>82</v>
      </c>
      <c r="B39" s="10" t="s">
        <v>19</v>
      </c>
      <c r="C39" s="11" t="s">
        <v>60</v>
      </c>
      <c r="D39" s="12" t="s">
        <v>113</v>
      </c>
      <c r="E39" s="13" t="s">
        <v>114</v>
      </c>
      <c r="F39" s="13" t="s">
        <v>115</v>
      </c>
      <c r="G39" s="13" t="s">
        <v>116</v>
      </c>
      <c r="H39" s="13" t="s">
        <v>117</v>
      </c>
    </row>
    <row r="40" spans="1:8" x14ac:dyDescent="0.25">
      <c r="A40" s="14" t="s">
        <v>82</v>
      </c>
      <c r="B40" s="14" t="s">
        <v>19</v>
      </c>
      <c r="C40" s="15" t="s">
        <v>63</v>
      </c>
      <c r="D40" s="12" t="s">
        <v>118</v>
      </c>
      <c r="E40" s="16" t="s">
        <v>119</v>
      </c>
      <c r="F40" s="16" t="s">
        <v>120</v>
      </c>
      <c r="G40" s="16" t="s">
        <v>119</v>
      </c>
      <c r="H40" s="16" t="s">
        <v>119</v>
      </c>
    </row>
    <row r="41" spans="1:8" x14ac:dyDescent="0.25">
      <c r="A41" s="10" t="s">
        <v>82</v>
      </c>
      <c r="B41" s="10" t="s">
        <v>19</v>
      </c>
      <c r="C41" s="11" t="s">
        <v>66</v>
      </c>
      <c r="D41" s="12"/>
      <c r="E41" s="13" t="s">
        <v>121</v>
      </c>
      <c r="F41" s="13" t="s">
        <v>122</v>
      </c>
      <c r="G41" s="13" t="s">
        <v>123</v>
      </c>
      <c r="H41" s="13" t="s">
        <v>121</v>
      </c>
    </row>
    <row r="42" spans="1:8" ht="76.5" x14ac:dyDescent="0.25">
      <c r="A42" s="14" t="s">
        <v>82</v>
      </c>
      <c r="B42" s="14" t="s">
        <v>19</v>
      </c>
      <c r="C42" s="15" t="s">
        <v>69</v>
      </c>
      <c r="D42" s="12" t="s">
        <v>124</v>
      </c>
      <c r="E42" s="16" t="s">
        <v>125</v>
      </c>
      <c r="F42" s="16" t="s">
        <v>126</v>
      </c>
      <c r="G42" s="16" t="s">
        <v>127</v>
      </c>
      <c r="H42" s="16" t="s">
        <v>128</v>
      </c>
    </row>
    <row r="43" spans="1:8" x14ac:dyDescent="0.25">
      <c r="A43" s="10" t="s">
        <v>82</v>
      </c>
      <c r="B43" s="10" t="s">
        <v>19</v>
      </c>
      <c r="C43" s="11" t="s">
        <v>74</v>
      </c>
      <c r="D43" s="12"/>
      <c r="E43" s="13" t="s">
        <v>129</v>
      </c>
      <c r="F43" s="13" t="s">
        <v>130</v>
      </c>
      <c r="G43" s="13" t="s">
        <v>130</v>
      </c>
      <c r="H43" s="13" t="s">
        <v>131</v>
      </c>
    </row>
    <row r="44" spans="1:8" x14ac:dyDescent="0.25">
      <c r="A44" s="14" t="s">
        <v>82</v>
      </c>
      <c r="B44" s="14" t="s">
        <v>19</v>
      </c>
      <c r="C44" s="15" t="s">
        <v>75</v>
      </c>
      <c r="D44" s="12" t="s">
        <v>132</v>
      </c>
      <c r="E44" s="16" t="s">
        <v>79</v>
      </c>
      <c r="F44" s="16" t="s">
        <v>79</v>
      </c>
      <c r="G44" s="16" t="s">
        <v>79</v>
      </c>
      <c r="H44" s="16" t="s">
        <v>79</v>
      </c>
    </row>
    <row r="45" spans="1:8" x14ac:dyDescent="0.25">
      <c r="A45" s="10" t="s">
        <v>82</v>
      </c>
      <c r="B45" s="10" t="s">
        <v>19</v>
      </c>
      <c r="C45" s="11" t="s">
        <v>80</v>
      </c>
      <c r="D45" s="12"/>
      <c r="E45" s="13"/>
      <c r="F45" s="13"/>
      <c r="G45" s="13"/>
      <c r="H45" s="13"/>
    </row>
    <row r="46" spans="1:8" x14ac:dyDescent="0.25">
      <c r="A46" s="10" t="s">
        <v>133</v>
      </c>
      <c r="B46" s="10" t="s">
        <v>134</v>
      </c>
      <c r="C46" s="11" t="s">
        <v>33</v>
      </c>
      <c r="D46" s="12" t="s">
        <v>135</v>
      </c>
      <c r="E46" s="13" t="s">
        <v>135</v>
      </c>
      <c r="F46" s="13" t="s">
        <v>135</v>
      </c>
      <c r="G46" s="13" t="s">
        <v>135</v>
      </c>
      <c r="H46" s="13" t="s">
        <v>135</v>
      </c>
    </row>
    <row r="47" spans="1:8" ht="51" x14ac:dyDescent="0.25">
      <c r="A47" s="14" t="s">
        <v>133</v>
      </c>
      <c r="B47" s="14" t="s">
        <v>134</v>
      </c>
      <c r="C47" s="15" t="s">
        <v>35</v>
      </c>
      <c r="D47" s="12" t="s">
        <v>136</v>
      </c>
      <c r="E47" s="16" t="s">
        <v>137</v>
      </c>
      <c r="F47" s="16" t="s">
        <v>137</v>
      </c>
      <c r="G47" s="16" t="s">
        <v>138</v>
      </c>
      <c r="H47" s="16" t="s">
        <v>139</v>
      </c>
    </row>
    <row r="48" spans="1:8" ht="25.5" x14ac:dyDescent="0.25">
      <c r="A48" s="10" t="s">
        <v>133</v>
      </c>
      <c r="B48" s="10" t="s">
        <v>134</v>
      </c>
      <c r="C48" s="11" t="s">
        <v>140</v>
      </c>
      <c r="D48" s="12" t="s">
        <v>141</v>
      </c>
      <c r="E48" s="13" t="s">
        <v>142</v>
      </c>
      <c r="F48" s="13" t="s">
        <v>143</v>
      </c>
      <c r="G48" s="13" t="s">
        <v>144</v>
      </c>
      <c r="H48" s="13" t="s">
        <v>144</v>
      </c>
    </row>
    <row r="49" spans="1:8" x14ac:dyDescent="0.25">
      <c r="A49" s="14" t="s">
        <v>133</v>
      </c>
      <c r="B49" s="14" t="s">
        <v>134</v>
      </c>
      <c r="C49" s="15" t="s">
        <v>39</v>
      </c>
      <c r="D49" s="12" t="s">
        <v>145</v>
      </c>
      <c r="E49" s="16" t="s">
        <v>146</v>
      </c>
      <c r="F49" s="16" t="s">
        <v>147</v>
      </c>
      <c r="G49" s="16" t="s">
        <v>147</v>
      </c>
      <c r="H49" s="16" t="s">
        <v>147</v>
      </c>
    </row>
    <row r="50" spans="1:8" x14ac:dyDescent="0.25">
      <c r="A50" s="10" t="s">
        <v>133</v>
      </c>
      <c r="B50" s="10" t="s">
        <v>134</v>
      </c>
      <c r="C50" s="11" t="s">
        <v>46</v>
      </c>
      <c r="D50" s="12" t="s">
        <v>148</v>
      </c>
      <c r="E50" s="13" t="s">
        <v>148</v>
      </c>
      <c r="F50" s="13" t="s">
        <v>148</v>
      </c>
      <c r="G50" s="13" t="s">
        <v>148</v>
      </c>
      <c r="H50" s="13" t="s">
        <v>148</v>
      </c>
    </row>
    <row r="51" spans="1:8" ht="51" x14ac:dyDescent="0.25">
      <c r="A51" s="14" t="s">
        <v>133</v>
      </c>
      <c r="B51" s="14" t="s">
        <v>134</v>
      </c>
      <c r="C51" s="15" t="s">
        <v>149</v>
      </c>
      <c r="D51" s="12" t="s">
        <v>150</v>
      </c>
      <c r="E51" s="16" t="s">
        <v>151</v>
      </c>
      <c r="F51" s="16" t="s">
        <v>152</v>
      </c>
      <c r="G51" s="16" t="s">
        <v>153</v>
      </c>
      <c r="H51" s="16" t="s">
        <v>154</v>
      </c>
    </row>
    <row r="52" spans="1:8" ht="25.5" x14ac:dyDescent="0.25">
      <c r="A52" s="10" t="s">
        <v>133</v>
      </c>
      <c r="B52" s="10" t="s">
        <v>134</v>
      </c>
      <c r="C52" s="11" t="s">
        <v>155</v>
      </c>
      <c r="D52" s="12" t="s">
        <v>156</v>
      </c>
      <c r="E52" s="13" t="s">
        <v>157</v>
      </c>
      <c r="F52" s="13" t="s">
        <v>158</v>
      </c>
      <c r="G52" s="13" t="s">
        <v>156</v>
      </c>
      <c r="H52" s="13" t="s">
        <v>159</v>
      </c>
    </row>
    <row r="53" spans="1:8" ht="51" x14ac:dyDescent="0.25">
      <c r="A53" s="14" t="s">
        <v>133</v>
      </c>
      <c r="B53" s="14" t="s">
        <v>134</v>
      </c>
      <c r="C53" s="15" t="s">
        <v>57</v>
      </c>
      <c r="D53" s="12" t="s">
        <v>160</v>
      </c>
      <c r="E53" s="16" t="s">
        <v>161</v>
      </c>
      <c r="F53" s="16" t="s">
        <v>162</v>
      </c>
      <c r="G53" s="16" t="s">
        <v>163</v>
      </c>
      <c r="H53" s="16" t="s">
        <v>164</v>
      </c>
    </row>
    <row r="54" spans="1:8" x14ac:dyDescent="0.25">
      <c r="A54" s="10" t="s">
        <v>133</v>
      </c>
      <c r="B54" s="10" t="s">
        <v>134</v>
      </c>
      <c r="C54" s="11" t="s">
        <v>59</v>
      </c>
      <c r="D54" s="12" t="s">
        <v>165</v>
      </c>
      <c r="E54" s="13" t="s">
        <v>166</v>
      </c>
      <c r="F54" s="13" t="s">
        <v>167</v>
      </c>
      <c r="G54" s="13" t="s">
        <v>168</v>
      </c>
      <c r="H54" s="13" t="s">
        <v>165</v>
      </c>
    </row>
    <row r="55" spans="1:8" ht="25.5" x14ac:dyDescent="0.25">
      <c r="A55" s="14" t="s">
        <v>133</v>
      </c>
      <c r="B55" s="14" t="s">
        <v>134</v>
      </c>
      <c r="C55" s="15" t="s">
        <v>169</v>
      </c>
      <c r="D55" s="12" t="s">
        <v>170</v>
      </c>
      <c r="E55" s="16"/>
      <c r="F55" s="16" t="s">
        <v>171</v>
      </c>
      <c r="G55" s="16"/>
      <c r="H55" s="16" t="s">
        <v>172</v>
      </c>
    </row>
    <row r="56" spans="1:8" ht="51" x14ac:dyDescent="0.25">
      <c r="A56" s="10" t="s">
        <v>133</v>
      </c>
      <c r="B56" s="10" t="s">
        <v>134</v>
      </c>
      <c r="C56" s="11" t="s">
        <v>60</v>
      </c>
      <c r="D56" s="12" t="s">
        <v>173</v>
      </c>
      <c r="E56" s="13" t="s">
        <v>174</v>
      </c>
      <c r="F56" s="13" t="s">
        <v>175</v>
      </c>
      <c r="G56" s="13" t="s">
        <v>175</v>
      </c>
      <c r="H56" s="13" t="s">
        <v>176</v>
      </c>
    </row>
    <row r="57" spans="1:8" x14ac:dyDescent="0.25">
      <c r="A57" s="14" t="s">
        <v>133</v>
      </c>
      <c r="B57" s="14" t="s">
        <v>134</v>
      </c>
      <c r="C57" s="15" t="s">
        <v>63</v>
      </c>
      <c r="D57" s="12"/>
      <c r="E57" s="16" t="s">
        <v>65</v>
      </c>
      <c r="F57" s="16" t="s">
        <v>65</v>
      </c>
      <c r="G57" s="16" t="s">
        <v>65</v>
      </c>
      <c r="H57" s="16" t="s">
        <v>65</v>
      </c>
    </row>
    <row r="58" spans="1:8" ht="38.25" x14ac:dyDescent="0.25">
      <c r="A58" s="10" t="s">
        <v>133</v>
      </c>
      <c r="B58" s="10" t="s">
        <v>134</v>
      </c>
      <c r="C58" s="11" t="s">
        <v>177</v>
      </c>
      <c r="D58" s="12" t="s">
        <v>178</v>
      </c>
      <c r="E58" s="13" t="s">
        <v>179</v>
      </c>
      <c r="F58" s="13" t="s">
        <v>180</v>
      </c>
      <c r="G58" s="13" t="s">
        <v>181</v>
      </c>
      <c r="H58" s="13" t="s">
        <v>182</v>
      </c>
    </row>
    <row r="59" spans="1:8" ht="76.5" x14ac:dyDescent="0.25">
      <c r="A59" s="14" t="s">
        <v>133</v>
      </c>
      <c r="B59" s="14" t="s">
        <v>134</v>
      </c>
      <c r="C59" s="15" t="s">
        <v>69</v>
      </c>
      <c r="D59" s="12" t="s">
        <v>183</v>
      </c>
      <c r="E59" s="16" t="s">
        <v>184</v>
      </c>
      <c r="F59" s="16" t="s">
        <v>185</v>
      </c>
      <c r="G59" s="16" t="s">
        <v>186</v>
      </c>
      <c r="H59" s="16" t="s">
        <v>187</v>
      </c>
    </row>
    <row r="60" spans="1:8" ht="38.25" x14ac:dyDescent="0.25">
      <c r="A60" s="10" t="s">
        <v>133</v>
      </c>
      <c r="B60" s="10" t="s">
        <v>134</v>
      </c>
      <c r="C60" s="11" t="s">
        <v>188</v>
      </c>
      <c r="D60" s="12" t="s">
        <v>189</v>
      </c>
      <c r="E60" s="13" t="s">
        <v>190</v>
      </c>
      <c r="F60" s="13" t="s">
        <v>191</v>
      </c>
      <c r="G60" s="13" t="s">
        <v>192</v>
      </c>
      <c r="H60" s="13" t="s">
        <v>192</v>
      </c>
    </row>
    <row r="61" spans="1:8" ht="25.5" x14ac:dyDescent="0.25">
      <c r="A61" s="14" t="s">
        <v>133</v>
      </c>
      <c r="B61" s="14" t="s">
        <v>134</v>
      </c>
      <c r="C61" s="15" t="s">
        <v>193</v>
      </c>
      <c r="D61" s="12" t="s">
        <v>194</v>
      </c>
      <c r="E61" s="16" t="s">
        <v>195</v>
      </c>
      <c r="F61" s="16" t="s">
        <v>196</v>
      </c>
      <c r="G61" s="16" t="s">
        <v>197</v>
      </c>
      <c r="H61" s="16" t="s">
        <v>198</v>
      </c>
    </row>
    <row r="62" spans="1:8" ht="38.25" x14ac:dyDescent="0.25">
      <c r="A62" s="10" t="s">
        <v>133</v>
      </c>
      <c r="B62" s="10" t="s">
        <v>134</v>
      </c>
      <c r="C62" s="11" t="s">
        <v>199</v>
      </c>
      <c r="D62" s="12" t="s">
        <v>200</v>
      </c>
      <c r="E62" s="13" t="s">
        <v>201</v>
      </c>
      <c r="F62" s="13" t="s">
        <v>202</v>
      </c>
      <c r="G62" s="13" t="s">
        <v>202</v>
      </c>
      <c r="H62" s="13" t="s">
        <v>203</v>
      </c>
    </row>
    <row r="63" spans="1:8" x14ac:dyDescent="0.25">
      <c r="A63" s="10" t="s">
        <v>204</v>
      </c>
      <c r="B63" s="10" t="s">
        <v>134</v>
      </c>
      <c r="C63" s="11" t="s">
        <v>33</v>
      </c>
      <c r="D63" s="12" t="s">
        <v>135</v>
      </c>
      <c r="E63" s="13" t="s">
        <v>135</v>
      </c>
      <c r="F63" s="13" t="s">
        <v>135</v>
      </c>
      <c r="G63" s="13" t="s">
        <v>135</v>
      </c>
      <c r="H63" s="13" t="s">
        <v>135</v>
      </c>
    </row>
    <row r="64" spans="1:8" ht="63.75" x14ac:dyDescent="0.25">
      <c r="A64" s="14" t="s">
        <v>204</v>
      </c>
      <c r="B64" s="14" t="s">
        <v>134</v>
      </c>
      <c r="C64" s="15" t="s">
        <v>35</v>
      </c>
      <c r="D64" s="12" t="s">
        <v>205</v>
      </c>
      <c r="E64" s="16" t="s">
        <v>206</v>
      </c>
      <c r="F64" s="16" t="s">
        <v>207</v>
      </c>
      <c r="G64" s="16" t="s">
        <v>207</v>
      </c>
      <c r="H64" s="16" t="s">
        <v>208</v>
      </c>
    </row>
    <row r="65" spans="1:8" ht="25.5" x14ac:dyDescent="0.25">
      <c r="A65" s="10" t="s">
        <v>204</v>
      </c>
      <c r="B65" s="10" t="s">
        <v>134</v>
      </c>
      <c r="C65" s="11" t="s">
        <v>140</v>
      </c>
      <c r="D65" s="12" t="s">
        <v>141</v>
      </c>
      <c r="E65" s="13" t="s">
        <v>209</v>
      </c>
      <c r="F65" s="13" t="s">
        <v>210</v>
      </c>
      <c r="G65" s="13" t="s">
        <v>211</v>
      </c>
      <c r="H65" s="13" t="s">
        <v>212</v>
      </c>
    </row>
    <row r="66" spans="1:8" ht="38.25" x14ac:dyDescent="0.25">
      <c r="A66" s="14" t="s">
        <v>204</v>
      </c>
      <c r="B66" s="14" t="s">
        <v>134</v>
      </c>
      <c r="C66" s="15" t="s">
        <v>39</v>
      </c>
      <c r="D66" s="12" t="s">
        <v>145</v>
      </c>
      <c r="E66" s="16" t="s">
        <v>213</v>
      </c>
      <c r="F66" s="16" t="s">
        <v>214</v>
      </c>
      <c r="G66" s="16" t="s">
        <v>215</v>
      </c>
      <c r="H66" s="16" t="s">
        <v>216</v>
      </c>
    </row>
    <row r="67" spans="1:8" x14ac:dyDescent="0.25">
      <c r="A67" s="10" t="s">
        <v>204</v>
      </c>
      <c r="B67" s="10" t="s">
        <v>134</v>
      </c>
      <c r="C67" s="11" t="s">
        <v>46</v>
      </c>
      <c r="D67" s="12" t="s">
        <v>217</v>
      </c>
      <c r="E67" s="13" t="s">
        <v>218</v>
      </c>
      <c r="F67" s="13" t="s">
        <v>219</v>
      </c>
      <c r="G67" s="13" t="s">
        <v>219</v>
      </c>
      <c r="H67" s="13" t="s">
        <v>220</v>
      </c>
    </row>
    <row r="68" spans="1:8" ht="76.5" x14ac:dyDescent="0.25">
      <c r="A68" s="14" t="s">
        <v>204</v>
      </c>
      <c r="B68" s="14" t="s">
        <v>134</v>
      </c>
      <c r="C68" s="15" t="s">
        <v>149</v>
      </c>
      <c r="D68" s="12" t="s">
        <v>221</v>
      </c>
      <c r="E68" s="16" t="s">
        <v>222</v>
      </c>
      <c r="F68" s="16" t="s">
        <v>223</v>
      </c>
      <c r="G68" s="16" t="s">
        <v>224</v>
      </c>
      <c r="H68" s="16" t="s">
        <v>225</v>
      </c>
    </row>
    <row r="69" spans="1:8" ht="25.5" x14ac:dyDescent="0.25">
      <c r="A69" s="10" t="s">
        <v>204</v>
      </c>
      <c r="B69" s="10" t="s">
        <v>134</v>
      </c>
      <c r="C69" s="11" t="s">
        <v>155</v>
      </c>
      <c r="D69" s="12" t="s">
        <v>226</v>
      </c>
      <c r="E69" s="13" t="s">
        <v>226</v>
      </c>
      <c r="F69" s="13" t="s">
        <v>227</v>
      </c>
      <c r="G69" s="13" t="s">
        <v>228</v>
      </c>
      <c r="H69" s="13" t="s">
        <v>227</v>
      </c>
    </row>
    <row r="70" spans="1:8" ht="25.5" x14ac:dyDescent="0.25">
      <c r="A70" s="14" t="s">
        <v>204</v>
      </c>
      <c r="B70" s="14" t="s">
        <v>134</v>
      </c>
      <c r="C70" s="15" t="s">
        <v>57</v>
      </c>
      <c r="D70" s="12" t="s">
        <v>229</v>
      </c>
      <c r="E70" s="16" t="s">
        <v>230</v>
      </c>
      <c r="F70" s="16" t="s">
        <v>231</v>
      </c>
      <c r="G70" s="16" t="s">
        <v>231</v>
      </c>
      <c r="H70" s="16" t="s">
        <v>231</v>
      </c>
    </row>
    <row r="71" spans="1:8" x14ac:dyDescent="0.25">
      <c r="A71" s="10" t="s">
        <v>204</v>
      </c>
      <c r="B71" s="10" t="s">
        <v>134</v>
      </c>
      <c r="C71" s="11" t="s">
        <v>59</v>
      </c>
      <c r="D71" s="12" t="s">
        <v>165</v>
      </c>
      <c r="E71" s="13" t="s">
        <v>232</v>
      </c>
      <c r="F71" s="13" t="s">
        <v>167</v>
      </c>
      <c r="G71" s="13" t="s">
        <v>233</v>
      </c>
      <c r="H71" s="13" t="s">
        <v>165</v>
      </c>
    </row>
    <row r="72" spans="1:8" ht="38.25" x14ac:dyDescent="0.25">
      <c r="A72" s="14" t="s">
        <v>204</v>
      </c>
      <c r="B72" s="14" t="s">
        <v>134</v>
      </c>
      <c r="C72" s="15" t="s">
        <v>169</v>
      </c>
      <c r="D72" s="12" t="s">
        <v>170</v>
      </c>
      <c r="E72" s="16"/>
      <c r="F72" s="16" t="s">
        <v>234</v>
      </c>
      <c r="G72" s="16"/>
      <c r="H72" s="16"/>
    </row>
    <row r="73" spans="1:8" ht="25.5" x14ac:dyDescent="0.25">
      <c r="A73" s="10" t="s">
        <v>204</v>
      </c>
      <c r="B73" s="10" t="s">
        <v>134</v>
      </c>
      <c r="C73" s="11" t="s">
        <v>60</v>
      </c>
      <c r="D73" s="12" t="s">
        <v>235</v>
      </c>
      <c r="E73" s="13" t="s">
        <v>236</v>
      </c>
      <c r="F73" s="13" t="s">
        <v>237</v>
      </c>
      <c r="G73" s="13" t="s">
        <v>238</v>
      </c>
      <c r="H73" s="13" t="s">
        <v>239</v>
      </c>
    </row>
    <row r="74" spans="1:8" x14ac:dyDescent="0.25">
      <c r="A74" s="14" t="s">
        <v>204</v>
      </c>
      <c r="B74" s="14" t="s">
        <v>134</v>
      </c>
      <c r="C74" s="15" t="s">
        <v>63</v>
      </c>
      <c r="D74" s="12"/>
      <c r="E74" s="16" t="s">
        <v>65</v>
      </c>
      <c r="F74" s="16" t="s">
        <v>65</v>
      </c>
      <c r="G74" s="16" t="s">
        <v>65</v>
      </c>
      <c r="H74" s="16" t="s">
        <v>65</v>
      </c>
    </row>
    <row r="75" spans="1:8" ht="51" x14ac:dyDescent="0.25">
      <c r="A75" s="10" t="s">
        <v>204</v>
      </c>
      <c r="B75" s="10" t="s">
        <v>134</v>
      </c>
      <c r="C75" s="11" t="s">
        <v>177</v>
      </c>
      <c r="D75" s="12" t="s">
        <v>240</v>
      </c>
      <c r="E75" s="13" t="s">
        <v>241</v>
      </c>
      <c r="F75" s="13" t="s">
        <v>241</v>
      </c>
      <c r="G75" s="13" t="s">
        <v>241</v>
      </c>
      <c r="H75" s="13" t="s">
        <v>242</v>
      </c>
    </row>
    <row r="76" spans="1:8" ht="63.75" x14ac:dyDescent="0.25">
      <c r="A76" s="14" t="s">
        <v>204</v>
      </c>
      <c r="B76" s="14" t="s">
        <v>134</v>
      </c>
      <c r="C76" s="15" t="s">
        <v>69</v>
      </c>
      <c r="D76" s="12" t="s">
        <v>243</v>
      </c>
      <c r="E76" s="16" t="s">
        <v>244</v>
      </c>
      <c r="F76" s="16" t="s">
        <v>245</v>
      </c>
      <c r="G76" s="16" t="s">
        <v>246</v>
      </c>
      <c r="H76" s="16" t="s">
        <v>247</v>
      </c>
    </row>
    <row r="77" spans="1:8" ht="25.5" x14ac:dyDescent="0.25">
      <c r="A77" s="10" t="s">
        <v>204</v>
      </c>
      <c r="B77" s="10" t="s">
        <v>134</v>
      </c>
      <c r="C77" s="11" t="s">
        <v>188</v>
      </c>
      <c r="D77" s="12" t="s">
        <v>248</v>
      </c>
      <c r="E77" s="13" t="s">
        <v>249</v>
      </c>
      <c r="F77" s="13" t="s">
        <v>250</v>
      </c>
      <c r="G77" s="13" t="s">
        <v>250</v>
      </c>
      <c r="H77" s="13" t="s">
        <v>250</v>
      </c>
    </row>
    <row r="78" spans="1:8" x14ac:dyDescent="0.25">
      <c r="A78" s="14" t="s">
        <v>204</v>
      </c>
      <c r="B78" s="14" t="s">
        <v>134</v>
      </c>
      <c r="C78" s="15" t="s">
        <v>193</v>
      </c>
      <c r="D78" s="12" t="s">
        <v>251</v>
      </c>
      <c r="E78" s="16" t="s">
        <v>252</v>
      </c>
      <c r="F78" s="16" t="s">
        <v>252</v>
      </c>
      <c r="G78" s="16" t="s">
        <v>252</v>
      </c>
      <c r="H78" s="16" t="s">
        <v>251</v>
      </c>
    </row>
    <row r="79" spans="1:8" ht="38.25" x14ac:dyDescent="0.25">
      <c r="A79" s="10" t="s">
        <v>204</v>
      </c>
      <c r="B79" s="10" t="s">
        <v>134</v>
      </c>
      <c r="C79" s="11" t="s">
        <v>199</v>
      </c>
      <c r="D79" s="12" t="s">
        <v>253</v>
      </c>
      <c r="E79" s="13" t="s">
        <v>254</v>
      </c>
      <c r="F79" s="13" t="s">
        <v>255</v>
      </c>
      <c r="G79" s="13" t="s">
        <v>256</v>
      </c>
      <c r="H79" s="13" t="s">
        <v>255</v>
      </c>
    </row>
    <row r="80" spans="1:8" x14ac:dyDescent="0.25">
      <c r="A80" s="10" t="s">
        <v>257</v>
      </c>
      <c r="B80" s="10" t="s">
        <v>258</v>
      </c>
      <c r="C80" s="11" t="s">
        <v>259</v>
      </c>
      <c r="D80" s="12" t="s">
        <v>260</v>
      </c>
      <c r="E80" s="13" t="s">
        <v>260</v>
      </c>
      <c r="F80" s="13" t="s">
        <v>260</v>
      </c>
      <c r="G80" s="13" t="s">
        <v>260</v>
      </c>
      <c r="H80" s="13" t="s">
        <v>260</v>
      </c>
    </row>
    <row r="81" spans="1:8" ht="38.25" x14ac:dyDescent="0.25">
      <c r="A81" s="14" t="s">
        <v>257</v>
      </c>
      <c r="B81" s="14" t="s">
        <v>258</v>
      </c>
      <c r="C81" s="15" t="s">
        <v>35</v>
      </c>
      <c r="D81" s="12" t="s">
        <v>261</v>
      </c>
      <c r="E81" s="16" t="s">
        <v>262</v>
      </c>
      <c r="F81" s="16" t="s">
        <v>263</v>
      </c>
      <c r="G81" s="16" t="s">
        <v>264</v>
      </c>
      <c r="H81" s="16" t="s">
        <v>265</v>
      </c>
    </row>
    <row r="82" spans="1:8" x14ac:dyDescent="0.25">
      <c r="A82" s="10" t="s">
        <v>257</v>
      </c>
      <c r="B82" s="10" t="s">
        <v>258</v>
      </c>
      <c r="C82" s="11" t="s">
        <v>266</v>
      </c>
      <c r="D82" s="12" t="s">
        <v>267</v>
      </c>
      <c r="E82" s="13"/>
      <c r="F82" s="13"/>
      <c r="G82" s="13"/>
      <c r="H82" s="13"/>
    </row>
    <row r="83" spans="1:8" x14ac:dyDescent="0.25">
      <c r="A83" s="14" t="s">
        <v>257</v>
      </c>
      <c r="B83" s="14" t="s">
        <v>258</v>
      </c>
      <c r="C83" s="15" t="s">
        <v>268</v>
      </c>
      <c r="D83" s="12" t="s">
        <v>269</v>
      </c>
      <c r="E83" s="16" t="s">
        <v>269</v>
      </c>
      <c r="F83" s="16" t="s">
        <v>269</v>
      </c>
      <c r="G83" s="16" t="s">
        <v>269</v>
      </c>
      <c r="H83" s="16" t="s">
        <v>269</v>
      </c>
    </row>
    <row r="84" spans="1:8" ht="25.5" x14ac:dyDescent="0.25">
      <c r="A84" s="10" t="s">
        <v>257</v>
      </c>
      <c r="B84" s="10" t="s">
        <v>258</v>
      </c>
      <c r="C84" s="11" t="s">
        <v>39</v>
      </c>
      <c r="D84" s="12"/>
      <c r="E84" s="13" t="s">
        <v>270</v>
      </c>
      <c r="F84" s="13" t="s">
        <v>271</v>
      </c>
      <c r="G84" s="13" t="s">
        <v>270</v>
      </c>
      <c r="H84" s="13" t="s">
        <v>272</v>
      </c>
    </row>
    <row r="85" spans="1:8" ht="25.5" x14ac:dyDescent="0.25">
      <c r="A85" s="14" t="s">
        <v>257</v>
      </c>
      <c r="B85" s="14" t="s">
        <v>258</v>
      </c>
      <c r="C85" s="15" t="s">
        <v>46</v>
      </c>
      <c r="D85" s="12"/>
      <c r="E85" s="16" t="s">
        <v>273</v>
      </c>
      <c r="F85" s="16" t="s">
        <v>274</v>
      </c>
      <c r="G85" s="16" t="s">
        <v>275</v>
      </c>
      <c r="H85" s="16" t="s">
        <v>276</v>
      </c>
    </row>
    <row r="86" spans="1:8" x14ac:dyDescent="0.25">
      <c r="A86" s="10" t="s">
        <v>257</v>
      </c>
      <c r="B86" s="10" t="s">
        <v>258</v>
      </c>
      <c r="C86" s="11" t="s">
        <v>277</v>
      </c>
      <c r="D86" s="12" t="s">
        <v>278</v>
      </c>
      <c r="E86" s="13" t="s">
        <v>273</v>
      </c>
      <c r="F86" s="13" t="s">
        <v>273</v>
      </c>
      <c r="G86" s="13" t="s">
        <v>273</v>
      </c>
      <c r="H86" s="13" t="s">
        <v>273</v>
      </c>
    </row>
    <row r="87" spans="1:8" ht="38.25" x14ac:dyDescent="0.25">
      <c r="A87" s="10" t="s">
        <v>257</v>
      </c>
      <c r="B87" s="10" t="s">
        <v>258</v>
      </c>
      <c r="C87" s="11" t="s">
        <v>280</v>
      </c>
      <c r="D87" s="12" t="s">
        <v>281</v>
      </c>
      <c r="E87" s="13" t="s">
        <v>282</v>
      </c>
      <c r="F87" s="13" t="s">
        <v>283</v>
      </c>
      <c r="G87" s="13" t="s">
        <v>284</v>
      </c>
      <c r="H87" s="13" t="s">
        <v>285</v>
      </c>
    </row>
    <row r="88" spans="1:8" ht="38.25" x14ac:dyDescent="0.25">
      <c r="A88" s="14" t="s">
        <v>257</v>
      </c>
      <c r="B88" s="14" t="s">
        <v>258</v>
      </c>
      <c r="C88" s="15" t="s">
        <v>286</v>
      </c>
      <c r="D88" s="12" t="s">
        <v>287</v>
      </c>
      <c r="E88" s="16" t="s">
        <v>288</v>
      </c>
      <c r="F88" s="16" t="s">
        <v>289</v>
      </c>
      <c r="G88" s="16" t="s">
        <v>290</v>
      </c>
      <c r="H88" s="16" t="s">
        <v>291</v>
      </c>
    </row>
    <row r="89" spans="1:8" x14ac:dyDescent="0.25">
      <c r="A89" s="10" t="s">
        <v>257</v>
      </c>
      <c r="B89" s="10" t="s">
        <v>258</v>
      </c>
      <c r="C89" s="11" t="s">
        <v>292</v>
      </c>
      <c r="D89" s="12" t="s">
        <v>293</v>
      </c>
      <c r="E89" s="13" t="s">
        <v>293</v>
      </c>
      <c r="F89" s="13" t="s">
        <v>293</v>
      </c>
      <c r="G89" s="13" t="s">
        <v>293</v>
      </c>
      <c r="H89" s="13" t="s">
        <v>293</v>
      </c>
    </row>
    <row r="90" spans="1:8" x14ac:dyDescent="0.25">
      <c r="A90" s="14" t="s">
        <v>257</v>
      </c>
      <c r="B90" s="14" t="s">
        <v>258</v>
      </c>
      <c r="C90" s="15" t="s">
        <v>294</v>
      </c>
      <c r="D90" s="12" t="s">
        <v>295</v>
      </c>
      <c r="E90" s="16" t="s">
        <v>296</v>
      </c>
      <c r="F90" s="16" t="s">
        <v>296</v>
      </c>
      <c r="G90" s="16" t="s">
        <v>296</v>
      </c>
      <c r="H90" s="16" t="s">
        <v>296</v>
      </c>
    </row>
    <row r="91" spans="1:8" x14ac:dyDescent="0.25">
      <c r="A91" s="10" t="s">
        <v>257</v>
      </c>
      <c r="B91" s="10" t="s">
        <v>258</v>
      </c>
      <c r="C91" s="11" t="s">
        <v>59</v>
      </c>
      <c r="D91" s="12"/>
      <c r="E91" s="13" t="s">
        <v>297</v>
      </c>
      <c r="F91" s="13" t="s">
        <v>298</v>
      </c>
      <c r="G91" s="13" t="s">
        <v>299</v>
      </c>
      <c r="H91" s="13" t="s">
        <v>297</v>
      </c>
    </row>
    <row r="92" spans="1:8" ht="25.5" x14ac:dyDescent="0.25">
      <c r="A92" s="14" t="s">
        <v>257</v>
      </c>
      <c r="B92" s="14" t="s">
        <v>258</v>
      </c>
      <c r="C92" s="15" t="s">
        <v>60</v>
      </c>
      <c r="D92" s="12"/>
      <c r="E92" s="16" t="s">
        <v>300</v>
      </c>
      <c r="F92" s="16" t="s">
        <v>301</v>
      </c>
      <c r="G92" s="16" t="s">
        <v>302</v>
      </c>
      <c r="H92" s="16" t="s">
        <v>302</v>
      </c>
    </row>
    <row r="93" spans="1:8" x14ac:dyDescent="0.25">
      <c r="A93" s="10" t="s">
        <v>257</v>
      </c>
      <c r="B93" s="10" t="s">
        <v>258</v>
      </c>
      <c r="C93" s="11" t="s">
        <v>303</v>
      </c>
      <c r="D93" s="12" t="s">
        <v>281</v>
      </c>
      <c r="E93" s="13" t="s">
        <v>281</v>
      </c>
      <c r="F93" s="13" t="s">
        <v>281</v>
      </c>
      <c r="G93" s="13" t="s">
        <v>281</v>
      </c>
      <c r="H93" s="13" t="s">
        <v>281</v>
      </c>
    </row>
    <row r="94" spans="1:8" ht="89.25" x14ac:dyDescent="0.25">
      <c r="A94" s="14" t="s">
        <v>257</v>
      </c>
      <c r="B94" s="14" t="s">
        <v>258</v>
      </c>
      <c r="C94" s="15" t="s">
        <v>304</v>
      </c>
      <c r="D94" s="12" t="s">
        <v>305</v>
      </c>
      <c r="E94" s="16" t="s">
        <v>306</v>
      </c>
      <c r="F94" s="16" t="s">
        <v>307</v>
      </c>
      <c r="G94" s="16" t="s">
        <v>308</v>
      </c>
      <c r="H94" s="16" t="s">
        <v>309</v>
      </c>
    </row>
    <row r="95" spans="1:8" ht="38.25" x14ac:dyDescent="0.25">
      <c r="A95" s="10" t="s">
        <v>257</v>
      </c>
      <c r="B95" s="10" t="s">
        <v>258</v>
      </c>
      <c r="C95" s="11" t="s">
        <v>310</v>
      </c>
      <c r="D95" s="12" t="s">
        <v>311</v>
      </c>
      <c r="E95" s="13" t="s">
        <v>312</v>
      </c>
      <c r="F95" s="13" t="s">
        <v>312</v>
      </c>
      <c r="G95" s="13" t="s">
        <v>313</v>
      </c>
      <c r="H95" s="13" t="s">
        <v>314</v>
      </c>
    </row>
    <row r="96" spans="1:8" x14ac:dyDescent="0.25">
      <c r="A96" s="14" t="s">
        <v>257</v>
      </c>
      <c r="B96" s="14" t="s">
        <v>258</v>
      </c>
      <c r="C96" s="15" t="s">
        <v>315</v>
      </c>
      <c r="D96" s="12" t="s">
        <v>267</v>
      </c>
      <c r="E96" s="16" t="s">
        <v>267</v>
      </c>
      <c r="F96" s="16" t="s">
        <v>267</v>
      </c>
      <c r="G96" s="16" t="s">
        <v>267</v>
      </c>
      <c r="H96" s="16" t="s">
        <v>267</v>
      </c>
    </row>
    <row r="97" spans="1:8" x14ac:dyDescent="0.25">
      <c r="A97" s="10" t="s">
        <v>257</v>
      </c>
      <c r="B97" s="10" t="s">
        <v>258</v>
      </c>
      <c r="C97" s="11" t="s">
        <v>316</v>
      </c>
      <c r="D97" s="12" t="s">
        <v>317</v>
      </c>
      <c r="E97" s="13" t="s">
        <v>317</v>
      </c>
      <c r="F97" s="13" t="s">
        <v>317</v>
      </c>
      <c r="G97" s="13" t="s">
        <v>317</v>
      </c>
      <c r="H97" s="13" t="s">
        <v>317</v>
      </c>
    </row>
    <row r="98" spans="1:8" x14ac:dyDescent="0.25">
      <c r="A98" s="14" t="s">
        <v>257</v>
      </c>
      <c r="B98" s="14" t="s">
        <v>258</v>
      </c>
      <c r="C98" s="15" t="s">
        <v>318</v>
      </c>
      <c r="D98" s="12" t="s">
        <v>319</v>
      </c>
      <c r="E98" s="16"/>
      <c r="F98" s="16"/>
      <c r="G98" s="16"/>
      <c r="H98" s="16"/>
    </row>
    <row r="99" spans="1:8" x14ac:dyDescent="0.25">
      <c r="A99" s="10" t="s">
        <v>257</v>
      </c>
      <c r="B99" s="10" t="s">
        <v>258</v>
      </c>
      <c r="C99" s="11" t="s">
        <v>320</v>
      </c>
      <c r="D99" s="12" t="s">
        <v>321</v>
      </c>
      <c r="E99" s="13" t="s">
        <v>322</v>
      </c>
      <c r="F99" s="13" t="s">
        <v>322</v>
      </c>
      <c r="G99" s="13" t="s">
        <v>322</v>
      </c>
      <c r="H99" s="13" t="s">
        <v>322</v>
      </c>
    </row>
    <row r="100" spans="1:8" x14ac:dyDescent="0.25">
      <c r="A100" s="14" t="s">
        <v>257</v>
      </c>
      <c r="B100" s="14" t="s">
        <v>258</v>
      </c>
      <c r="C100" s="15" t="s">
        <v>323</v>
      </c>
      <c r="D100" s="12" t="s">
        <v>293</v>
      </c>
      <c r="E100" s="16" t="s">
        <v>293</v>
      </c>
      <c r="F100" s="16" t="s">
        <v>293</v>
      </c>
      <c r="G100" s="16" t="s">
        <v>293</v>
      </c>
      <c r="H100" s="16" t="s">
        <v>293</v>
      </c>
    </row>
    <row r="101" spans="1:8" x14ac:dyDescent="0.25">
      <c r="A101" s="10" t="s">
        <v>257</v>
      </c>
      <c r="B101" s="10" t="s">
        <v>258</v>
      </c>
      <c r="C101" s="11" t="s">
        <v>324</v>
      </c>
      <c r="D101" s="12" t="s">
        <v>325</v>
      </c>
      <c r="E101" s="13" t="s">
        <v>325</v>
      </c>
      <c r="F101" s="13" t="s">
        <v>325</v>
      </c>
      <c r="G101" s="13" t="s">
        <v>325</v>
      </c>
      <c r="H101" s="13" t="s">
        <v>325</v>
      </c>
    </row>
    <row r="102" spans="1:8" x14ac:dyDescent="0.25">
      <c r="A102" s="10" t="s">
        <v>326</v>
      </c>
      <c r="B102" s="10" t="s">
        <v>258</v>
      </c>
      <c r="C102" s="11" t="s">
        <v>259</v>
      </c>
      <c r="D102" s="12" t="s">
        <v>327</v>
      </c>
      <c r="E102" s="13" t="s">
        <v>327</v>
      </c>
      <c r="F102" s="13" t="s">
        <v>327</v>
      </c>
      <c r="G102" s="13" t="s">
        <v>327</v>
      </c>
      <c r="H102" s="13" t="s">
        <v>327</v>
      </c>
    </row>
    <row r="103" spans="1:8" ht="25.5" x14ac:dyDescent="0.25">
      <c r="A103" s="14" t="s">
        <v>326</v>
      </c>
      <c r="B103" s="14" t="s">
        <v>258</v>
      </c>
      <c r="C103" s="15" t="s">
        <v>35</v>
      </c>
      <c r="D103" s="12" t="s">
        <v>328</v>
      </c>
      <c r="E103" s="16" t="s">
        <v>329</v>
      </c>
      <c r="F103" s="16" t="s">
        <v>328</v>
      </c>
      <c r="G103" s="16" t="s">
        <v>329</v>
      </c>
      <c r="H103" s="16" t="s">
        <v>328</v>
      </c>
    </row>
    <row r="104" spans="1:8" x14ac:dyDescent="0.25">
      <c r="A104" s="10" t="s">
        <v>326</v>
      </c>
      <c r="B104" s="10" t="s">
        <v>258</v>
      </c>
      <c r="C104" s="11" t="s">
        <v>266</v>
      </c>
      <c r="D104" s="12" t="s">
        <v>267</v>
      </c>
      <c r="E104" s="13"/>
      <c r="F104" s="13"/>
      <c r="G104" s="13"/>
      <c r="H104" s="13"/>
    </row>
    <row r="105" spans="1:8" x14ac:dyDescent="0.25">
      <c r="A105" s="14" t="s">
        <v>326</v>
      </c>
      <c r="B105" s="14" t="s">
        <v>258</v>
      </c>
      <c r="C105" s="15" t="s">
        <v>268</v>
      </c>
      <c r="D105" s="12" t="s">
        <v>281</v>
      </c>
      <c r="E105" s="16" t="s">
        <v>281</v>
      </c>
      <c r="F105" s="16" t="s">
        <v>281</v>
      </c>
      <c r="G105" s="16" t="s">
        <v>281</v>
      </c>
      <c r="H105" s="16" t="s">
        <v>281</v>
      </c>
    </row>
    <row r="106" spans="1:8" x14ac:dyDescent="0.25">
      <c r="A106" s="10" t="s">
        <v>326</v>
      </c>
      <c r="B106" s="10" t="s">
        <v>258</v>
      </c>
      <c r="C106" s="11" t="s">
        <v>39</v>
      </c>
      <c r="D106" s="12"/>
      <c r="E106" s="13"/>
      <c r="F106" s="13"/>
      <c r="G106" s="13"/>
      <c r="H106" s="13"/>
    </row>
    <row r="107" spans="1:8" x14ac:dyDescent="0.25">
      <c r="A107" s="14" t="s">
        <v>326</v>
      </c>
      <c r="B107" s="14" t="s">
        <v>258</v>
      </c>
      <c r="C107" s="15" t="s">
        <v>46</v>
      </c>
      <c r="D107" s="12"/>
      <c r="E107" s="16"/>
      <c r="F107" s="16"/>
      <c r="G107" s="16"/>
      <c r="H107" s="16"/>
    </row>
    <row r="108" spans="1:8" x14ac:dyDescent="0.25">
      <c r="A108" s="10" t="s">
        <v>326</v>
      </c>
      <c r="B108" s="10" t="s">
        <v>258</v>
      </c>
      <c r="C108" s="11" t="s">
        <v>277</v>
      </c>
      <c r="D108" s="12" t="s">
        <v>330</v>
      </c>
      <c r="E108" s="13" t="s">
        <v>331</v>
      </c>
      <c r="F108" s="13" t="s">
        <v>331</v>
      </c>
      <c r="G108" s="13" t="s">
        <v>331</v>
      </c>
      <c r="H108" s="13" t="s">
        <v>331</v>
      </c>
    </row>
    <row r="109" spans="1:8" x14ac:dyDescent="0.25">
      <c r="A109" s="10" t="s">
        <v>326</v>
      </c>
      <c r="B109" s="10" t="s">
        <v>258</v>
      </c>
      <c r="C109" s="11" t="s">
        <v>280</v>
      </c>
      <c r="D109" s="12" t="s">
        <v>267</v>
      </c>
      <c r="E109" s="13"/>
      <c r="F109" s="13" t="s">
        <v>267</v>
      </c>
      <c r="G109" s="13"/>
      <c r="H109" s="13" t="s">
        <v>333</v>
      </c>
    </row>
    <row r="110" spans="1:8" ht="38.25" x14ac:dyDescent="0.25">
      <c r="A110" s="14" t="s">
        <v>326</v>
      </c>
      <c r="B110" s="14" t="s">
        <v>258</v>
      </c>
      <c r="C110" s="15" t="s">
        <v>286</v>
      </c>
      <c r="D110" s="12" t="s">
        <v>334</v>
      </c>
      <c r="E110" s="16" t="s">
        <v>335</v>
      </c>
      <c r="F110" s="16" t="s">
        <v>336</v>
      </c>
      <c r="G110" s="16" t="s">
        <v>337</v>
      </c>
      <c r="H110" s="16" t="s">
        <v>338</v>
      </c>
    </row>
    <row r="111" spans="1:8" x14ac:dyDescent="0.25">
      <c r="A111" s="10" t="s">
        <v>326</v>
      </c>
      <c r="B111" s="10" t="s">
        <v>258</v>
      </c>
      <c r="C111" s="11" t="s">
        <v>292</v>
      </c>
      <c r="D111" s="12" t="s">
        <v>339</v>
      </c>
      <c r="E111" s="13"/>
      <c r="F111" s="13" t="s">
        <v>339</v>
      </c>
      <c r="G111" s="13" t="s">
        <v>339</v>
      </c>
      <c r="H111" s="13" t="s">
        <v>340</v>
      </c>
    </row>
    <row r="112" spans="1:8" ht="25.5" x14ac:dyDescent="0.25">
      <c r="A112" s="14" t="s">
        <v>326</v>
      </c>
      <c r="B112" s="14" t="s">
        <v>258</v>
      </c>
      <c r="C112" s="15" t="s">
        <v>294</v>
      </c>
      <c r="D112" s="12" t="s">
        <v>341</v>
      </c>
      <c r="E112" s="16" t="s">
        <v>341</v>
      </c>
      <c r="F112" s="16" t="s">
        <v>341</v>
      </c>
      <c r="G112" s="16" t="s">
        <v>341</v>
      </c>
      <c r="H112" s="16" t="s">
        <v>341</v>
      </c>
    </row>
    <row r="113" spans="1:8" x14ac:dyDescent="0.25">
      <c r="A113" s="10" t="s">
        <v>326</v>
      </c>
      <c r="B113" s="10" t="s">
        <v>258</v>
      </c>
      <c r="C113" s="11" t="s">
        <v>59</v>
      </c>
      <c r="D113" s="12"/>
      <c r="E113" s="13"/>
      <c r="F113" s="13"/>
      <c r="G113" s="13"/>
      <c r="H113" s="13"/>
    </row>
    <row r="114" spans="1:8" ht="25.5" x14ac:dyDescent="0.25">
      <c r="A114" s="14" t="s">
        <v>326</v>
      </c>
      <c r="B114" s="14" t="s">
        <v>258</v>
      </c>
      <c r="C114" s="15" t="s">
        <v>60</v>
      </c>
      <c r="D114" s="12"/>
      <c r="E114" s="16" t="s">
        <v>342</v>
      </c>
      <c r="F114" s="16" t="s">
        <v>343</v>
      </c>
      <c r="G114" s="16" t="s">
        <v>343</v>
      </c>
      <c r="H114" s="16" t="s">
        <v>343</v>
      </c>
    </row>
    <row r="115" spans="1:8" x14ac:dyDescent="0.25">
      <c r="A115" s="10" t="s">
        <v>326</v>
      </c>
      <c r="B115" s="10" t="s">
        <v>258</v>
      </c>
      <c r="C115" s="11" t="s">
        <v>303</v>
      </c>
      <c r="D115" s="12" t="s">
        <v>281</v>
      </c>
      <c r="E115" s="13" t="s">
        <v>281</v>
      </c>
      <c r="F115" s="13" t="s">
        <v>281</v>
      </c>
      <c r="G115" s="13" t="s">
        <v>281</v>
      </c>
      <c r="H115" s="13" t="s">
        <v>281</v>
      </c>
    </row>
    <row r="116" spans="1:8" ht="51" x14ac:dyDescent="0.25">
      <c r="A116" s="14" t="s">
        <v>326</v>
      </c>
      <c r="B116" s="14" t="s">
        <v>258</v>
      </c>
      <c r="C116" s="15" t="s">
        <v>304</v>
      </c>
      <c r="D116" s="12" t="s">
        <v>344</v>
      </c>
      <c r="E116" s="16" t="s">
        <v>345</v>
      </c>
      <c r="F116" s="16" t="s">
        <v>346</v>
      </c>
      <c r="G116" s="16" t="s">
        <v>347</v>
      </c>
      <c r="H116" s="16" t="s">
        <v>348</v>
      </c>
    </row>
    <row r="117" spans="1:8" ht="38.25" x14ac:dyDescent="0.25">
      <c r="A117" s="10" t="s">
        <v>326</v>
      </c>
      <c r="B117" s="10" t="s">
        <v>258</v>
      </c>
      <c r="C117" s="11" t="s">
        <v>310</v>
      </c>
      <c r="D117" s="12" t="s">
        <v>349</v>
      </c>
      <c r="E117" s="13" t="s">
        <v>350</v>
      </c>
      <c r="F117" s="13" t="s">
        <v>350</v>
      </c>
      <c r="G117" s="13" t="s">
        <v>350</v>
      </c>
      <c r="H117" s="13" t="s">
        <v>351</v>
      </c>
    </row>
    <row r="118" spans="1:8" x14ac:dyDescent="0.25">
      <c r="A118" s="14" t="s">
        <v>326</v>
      </c>
      <c r="B118" s="14" t="s">
        <v>258</v>
      </c>
      <c r="C118" s="15" t="s">
        <v>315</v>
      </c>
      <c r="D118" s="12" t="s">
        <v>267</v>
      </c>
      <c r="E118" s="16" t="s">
        <v>267</v>
      </c>
      <c r="F118" s="16" t="s">
        <v>267</v>
      </c>
      <c r="G118" s="16" t="s">
        <v>267</v>
      </c>
      <c r="H118" s="16" t="s">
        <v>267</v>
      </c>
    </row>
    <row r="119" spans="1:8" x14ac:dyDescent="0.25">
      <c r="A119" s="10" t="s">
        <v>326</v>
      </c>
      <c r="B119" s="10" t="s">
        <v>258</v>
      </c>
      <c r="C119" s="11" t="s">
        <v>316</v>
      </c>
      <c r="D119" s="12" t="s">
        <v>317</v>
      </c>
      <c r="E119" s="13" t="s">
        <v>317</v>
      </c>
      <c r="F119" s="13" t="s">
        <v>317</v>
      </c>
      <c r="G119" s="13" t="s">
        <v>317</v>
      </c>
      <c r="H119" s="13" t="s">
        <v>317</v>
      </c>
    </row>
    <row r="120" spans="1:8" x14ac:dyDescent="0.25">
      <c r="A120" s="14" t="s">
        <v>326</v>
      </c>
      <c r="B120" s="14" t="s">
        <v>258</v>
      </c>
      <c r="C120" s="15" t="s">
        <v>318</v>
      </c>
      <c r="D120" s="12" t="s">
        <v>319</v>
      </c>
      <c r="E120" s="16"/>
      <c r="F120" s="16"/>
      <c r="G120" s="16"/>
      <c r="H120" s="16"/>
    </row>
    <row r="121" spans="1:8" x14ac:dyDescent="0.25">
      <c r="A121" s="10" t="s">
        <v>326</v>
      </c>
      <c r="B121" s="10" t="s">
        <v>258</v>
      </c>
      <c r="C121" s="11" t="s">
        <v>320</v>
      </c>
      <c r="D121" s="12" t="s">
        <v>352</v>
      </c>
      <c r="E121" s="13" t="s">
        <v>353</v>
      </c>
      <c r="F121" s="13" t="s">
        <v>353</v>
      </c>
      <c r="G121" s="13" t="s">
        <v>353</v>
      </c>
      <c r="H121" s="13" t="s">
        <v>353</v>
      </c>
    </row>
    <row r="122" spans="1:8" x14ac:dyDescent="0.25">
      <c r="A122" s="14" t="s">
        <v>326</v>
      </c>
      <c r="B122" s="14" t="s">
        <v>258</v>
      </c>
      <c r="C122" s="15" t="s">
        <v>323</v>
      </c>
      <c r="D122" s="12" t="s">
        <v>339</v>
      </c>
      <c r="E122" s="16" t="s">
        <v>339</v>
      </c>
      <c r="F122" s="16" t="s">
        <v>339</v>
      </c>
      <c r="G122" s="16" t="s">
        <v>339</v>
      </c>
      <c r="H122" s="16" t="s">
        <v>340</v>
      </c>
    </row>
    <row r="123" spans="1:8" x14ac:dyDescent="0.25">
      <c r="A123" s="10" t="s">
        <v>326</v>
      </c>
      <c r="B123" s="10" t="s">
        <v>258</v>
      </c>
      <c r="C123" s="11" t="s">
        <v>324</v>
      </c>
      <c r="D123" s="12" t="s">
        <v>354</v>
      </c>
      <c r="E123" s="13" t="s">
        <v>354</v>
      </c>
      <c r="F123" s="13" t="s">
        <v>354</v>
      </c>
      <c r="G123" s="13" t="s">
        <v>354</v>
      </c>
      <c r="H123" s="13" t="s">
        <v>354</v>
      </c>
    </row>
    <row r="125" spans="1:8" x14ac:dyDescent="0.25">
      <c r="A125" s="17" t="s">
        <v>355</v>
      </c>
    </row>
    <row r="126" spans="1:8" x14ac:dyDescent="0.25">
      <c r="A126" s="25" t="s">
        <v>356</v>
      </c>
      <c r="B126" s="25"/>
      <c r="C126" s="25"/>
      <c r="D126" s="25"/>
      <c r="E126" s="25"/>
      <c r="F126" s="25"/>
    </row>
    <row r="127" spans="1:8" x14ac:dyDescent="0.25">
      <c r="A127" s="25" t="s">
        <v>357</v>
      </c>
      <c r="B127" s="25"/>
      <c r="C127" s="25"/>
      <c r="D127" s="25"/>
      <c r="E127" s="25"/>
      <c r="F127" s="25"/>
    </row>
    <row r="128" spans="1:8" x14ac:dyDescent="0.25">
      <c r="A128" s="25" t="s">
        <v>358</v>
      </c>
      <c r="B128" s="25"/>
      <c r="C128" s="25"/>
      <c r="D128" s="25"/>
      <c r="E128" s="25"/>
      <c r="F128" s="25"/>
    </row>
  </sheetData>
  <autoFilter ref="C1:C128"/>
  <mergeCells count="3">
    <mergeCell ref="A126:F126"/>
    <mergeCell ref="A127:F127"/>
    <mergeCell ref="A128:F12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67C52"/>
  </sheetPr>
  <dimension ref="A1:H17"/>
  <sheetViews>
    <sheetView zoomScaleNormal="100" workbookViewId="0">
      <pane xSplit="4" ySplit="1" topLeftCell="E2" activePane="bottomRight" state="frozen"/>
      <selection pane="topRight" activeCell="E1" sqref="E1"/>
      <selection pane="bottomLeft" activeCell="A2" sqref="A2"/>
      <selection pane="bottomRight" activeCell="E3" sqref="E3"/>
    </sheetView>
  </sheetViews>
  <sheetFormatPr defaultColWidth="8.7109375" defaultRowHeight="15" x14ac:dyDescent="0.25"/>
  <cols>
    <col min="1" max="1" width="11" style="8" customWidth="1"/>
    <col min="2" max="2" width="12" style="8" customWidth="1"/>
    <col min="3" max="3" width="26" style="8" customWidth="1"/>
    <col min="4" max="4" width="42" style="8" customWidth="1"/>
    <col min="5" max="8" width="38" style="8" customWidth="1"/>
  </cols>
  <sheetData>
    <row r="1" spans="1:8" x14ac:dyDescent="0.25">
      <c r="A1" s="9" t="s">
        <v>14</v>
      </c>
      <c r="B1" s="9" t="s">
        <v>15</v>
      </c>
      <c r="C1" s="9" t="s">
        <v>16</v>
      </c>
      <c r="D1" s="9" t="s">
        <v>17</v>
      </c>
      <c r="E1" s="9" t="s">
        <v>7</v>
      </c>
      <c r="F1" s="9" t="s">
        <v>10</v>
      </c>
      <c r="G1" s="9" t="s">
        <v>12</v>
      </c>
      <c r="H1" s="9" t="s">
        <v>13</v>
      </c>
    </row>
    <row r="2" spans="1:8" ht="76.5" x14ac:dyDescent="0.25">
      <c r="A2" s="10" t="s">
        <v>18</v>
      </c>
      <c r="B2" s="10" t="s">
        <v>19</v>
      </c>
      <c r="C2" s="11" t="s">
        <v>51</v>
      </c>
      <c r="D2" s="12"/>
      <c r="E2" s="13" t="s">
        <v>359</v>
      </c>
      <c r="F2" s="13" t="s">
        <v>360</v>
      </c>
      <c r="G2" s="13" t="s">
        <v>361</v>
      </c>
      <c r="H2" s="13" t="s">
        <v>362</v>
      </c>
    </row>
    <row r="3" spans="1:8" ht="204" x14ac:dyDescent="0.25">
      <c r="A3" s="14" t="s">
        <v>18</v>
      </c>
      <c r="B3" s="14" t="s">
        <v>19</v>
      </c>
      <c r="C3" s="15" t="s">
        <v>363</v>
      </c>
      <c r="D3" s="12"/>
      <c r="E3" s="16" t="s">
        <v>364</v>
      </c>
      <c r="F3" s="16" t="s">
        <v>365</v>
      </c>
      <c r="G3" s="16" t="s">
        <v>366</v>
      </c>
      <c r="H3" s="16" t="s">
        <v>367</v>
      </c>
    </row>
    <row r="4" spans="1:8" ht="63.75" x14ac:dyDescent="0.25">
      <c r="A4" s="10" t="s">
        <v>18</v>
      </c>
      <c r="B4" s="10" t="s">
        <v>19</v>
      </c>
      <c r="C4" s="11" t="s">
        <v>368</v>
      </c>
      <c r="D4" s="12" t="s">
        <v>52</v>
      </c>
      <c r="E4" s="13" t="s">
        <v>369</v>
      </c>
      <c r="F4" s="13" t="s">
        <v>370</v>
      </c>
      <c r="G4" s="13" t="s">
        <v>371</v>
      </c>
      <c r="H4" s="13" t="s">
        <v>372</v>
      </c>
    </row>
    <row r="5" spans="1:8" ht="51" x14ac:dyDescent="0.25">
      <c r="A5" s="14" t="s">
        <v>18</v>
      </c>
      <c r="B5" s="14" t="s">
        <v>19</v>
      </c>
      <c r="C5" s="15" t="s">
        <v>373</v>
      </c>
      <c r="D5" s="12" t="s">
        <v>374</v>
      </c>
      <c r="E5" s="16" t="s">
        <v>375</v>
      </c>
      <c r="F5" s="16" t="s">
        <v>376</v>
      </c>
      <c r="G5" s="16" t="s">
        <v>377</v>
      </c>
      <c r="H5" s="16" t="s">
        <v>378</v>
      </c>
    </row>
    <row r="6" spans="1:8" ht="76.5" x14ac:dyDescent="0.25">
      <c r="A6" s="10" t="s">
        <v>82</v>
      </c>
      <c r="B6" s="10" t="s">
        <v>19</v>
      </c>
      <c r="C6" s="11" t="s">
        <v>51</v>
      </c>
      <c r="D6" s="12"/>
      <c r="E6" s="13" t="s">
        <v>379</v>
      </c>
      <c r="F6" s="13" t="s">
        <v>380</v>
      </c>
      <c r="G6" s="13" t="s">
        <v>381</v>
      </c>
      <c r="H6" s="13" t="s">
        <v>382</v>
      </c>
    </row>
    <row r="7" spans="1:8" ht="216.75" x14ac:dyDescent="0.25">
      <c r="A7" s="14" t="s">
        <v>82</v>
      </c>
      <c r="B7" s="14" t="s">
        <v>19</v>
      </c>
      <c r="C7" s="15" t="s">
        <v>363</v>
      </c>
      <c r="D7" s="12"/>
      <c r="E7" s="16" t="s">
        <v>383</v>
      </c>
      <c r="F7" s="16" t="s">
        <v>384</v>
      </c>
      <c r="G7" s="16" t="s">
        <v>385</v>
      </c>
      <c r="H7" s="16" t="s">
        <v>386</v>
      </c>
    </row>
    <row r="8" spans="1:8" ht="89.25" x14ac:dyDescent="0.25">
      <c r="A8" s="10" t="s">
        <v>82</v>
      </c>
      <c r="B8" s="10" t="s">
        <v>19</v>
      </c>
      <c r="C8" s="11" t="s">
        <v>368</v>
      </c>
      <c r="D8" s="12" t="s">
        <v>105</v>
      </c>
      <c r="E8" s="13" t="s">
        <v>387</v>
      </c>
      <c r="F8" s="13" t="s">
        <v>388</v>
      </c>
      <c r="G8" s="13" t="s">
        <v>389</v>
      </c>
      <c r="H8" s="13" t="s">
        <v>390</v>
      </c>
    </row>
    <row r="9" spans="1:8" ht="63.75" x14ac:dyDescent="0.25">
      <c r="A9" s="14" t="s">
        <v>82</v>
      </c>
      <c r="B9" s="14" t="s">
        <v>19</v>
      </c>
      <c r="C9" s="15" t="s">
        <v>373</v>
      </c>
      <c r="D9" s="12" t="s">
        <v>374</v>
      </c>
      <c r="E9" s="16" t="s">
        <v>391</v>
      </c>
      <c r="F9" s="16" t="s">
        <v>392</v>
      </c>
      <c r="G9" s="16" t="s">
        <v>393</v>
      </c>
      <c r="H9" s="16" t="s">
        <v>394</v>
      </c>
    </row>
    <row r="10" spans="1:8" ht="89.25" x14ac:dyDescent="0.25">
      <c r="A10" s="10" t="s">
        <v>133</v>
      </c>
      <c r="B10" s="10" t="s">
        <v>134</v>
      </c>
      <c r="C10" s="11" t="s">
        <v>51</v>
      </c>
      <c r="D10" s="12"/>
      <c r="E10" s="13" t="s">
        <v>395</v>
      </c>
      <c r="F10" s="13" t="s">
        <v>396</v>
      </c>
      <c r="G10" s="13" t="s">
        <v>397</v>
      </c>
      <c r="H10" s="13" t="s">
        <v>398</v>
      </c>
    </row>
    <row r="11" spans="1:8" ht="204" x14ac:dyDescent="0.25">
      <c r="A11" s="14" t="s">
        <v>133</v>
      </c>
      <c r="B11" s="14" t="s">
        <v>134</v>
      </c>
      <c r="C11" s="15" t="s">
        <v>363</v>
      </c>
      <c r="D11" s="12"/>
      <c r="E11" s="16" t="s">
        <v>399</v>
      </c>
      <c r="F11" s="16" t="s">
        <v>400</v>
      </c>
      <c r="G11" s="16" t="s">
        <v>401</v>
      </c>
      <c r="H11" s="16" t="s">
        <v>402</v>
      </c>
    </row>
    <row r="12" spans="1:8" ht="89.25" x14ac:dyDescent="0.25">
      <c r="A12" s="10" t="s">
        <v>204</v>
      </c>
      <c r="B12" s="10" t="s">
        <v>134</v>
      </c>
      <c r="C12" s="11" t="s">
        <v>51</v>
      </c>
      <c r="D12" s="12"/>
      <c r="E12" s="13" t="s">
        <v>403</v>
      </c>
      <c r="F12" s="13" t="s">
        <v>404</v>
      </c>
      <c r="G12" s="13" t="s">
        <v>405</v>
      </c>
      <c r="H12" s="13" t="s">
        <v>406</v>
      </c>
    </row>
    <row r="13" spans="1:8" ht="306" x14ac:dyDescent="0.25">
      <c r="A13" s="14" t="s">
        <v>204</v>
      </c>
      <c r="B13" s="14" t="s">
        <v>134</v>
      </c>
      <c r="C13" s="15" t="s">
        <v>363</v>
      </c>
      <c r="D13" s="12"/>
      <c r="E13" s="16" t="s">
        <v>407</v>
      </c>
      <c r="F13" s="16" t="s">
        <v>408</v>
      </c>
      <c r="G13" s="16" t="s">
        <v>409</v>
      </c>
      <c r="H13" s="16" t="s">
        <v>410</v>
      </c>
    </row>
    <row r="14" spans="1:8" ht="76.5" x14ac:dyDescent="0.25">
      <c r="A14" s="10" t="s">
        <v>257</v>
      </c>
      <c r="B14" s="10" t="s">
        <v>258</v>
      </c>
      <c r="C14" s="11" t="s">
        <v>51</v>
      </c>
      <c r="D14" s="12" t="s">
        <v>279</v>
      </c>
      <c r="E14" s="13" t="s">
        <v>411</v>
      </c>
      <c r="F14" s="13" t="s">
        <v>412</v>
      </c>
      <c r="G14" s="13" t="s">
        <v>413</v>
      </c>
      <c r="H14" s="13" t="s">
        <v>414</v>
      </c>
    </row>
    <row r="15" spans="1:8" ht="255" x14ac:dyDescent="0.25">
      <c r="A15" s="14" t="s">
        <v>257</v>
      </c>
      <c r="B15" s="14" t="s">
        <v>258</v>
      </c>
      <c r="C15" s="15" t="s">
        <v>363</v>
      </c>
      <c r="D15" s="12"/>
      <c r="E15" s="16" t="s">
        <v>415</v>
      </c>
      <c r="F15" s="16" t="s">
        <v>416</v>
      </c>
      <c r="G15" s="16" t="s">
        <v>417</v>
      </c>
      <c r="H15" s="16" t="s">
        <v>418</v>
      </c>
    </row>
    <row r="16" spans="1:8" ht="102" x14ac:dyDescent="0.25">
      <c r="A16" s="10" t="s">
        <v>326</v>
      </c>
      <c r="B16" s="10" t="s">
        <v>258</v>
      </c>
      <c r="C16" s="11" t="s">
        <v>51</v>
      </c>
      <c r="D16" s="12" t="s">
        <v>332</v>
      </c>
      <c r="E16" s="13" t="s">
        <v>419</v>
      </c>
      <c r="F16" s="13" t="s">
        <v>420</v>
      </c>
      <c r="G16" s="13" t="s">
        <v>421</v>
      </c>
      <c r="H16" s="13" t="s">
        <v>422</v>
      </c>
    </row>
    <row r="17" spans="1:8" ht="191.25" x14ac:dyDescent="0.25">
      <c r="A17" s="14" t="s">
        <v>326</v>
      </c>
      <c r="B17" s="14" t="s">
        <v>258</v>
      </c>
      <c r="C17" s="15" t="s">
        <v>363</v>
      </c>
      <c r="D17" s="12"/>
      <c r="E17" s="16" t="s">
        <v>423</v>
      </c>
      <c r="F17" s="16" t="s">
        <v>424</v>
      </c>
      <c r="G17" s="16" t="s">
        <v>425</v>
      </c>
      <c r="H17" s="16" t="s">
        <v>426</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9"/>
  <sheetViews>
    <sheetView tabSelected="1" zoomScaleNormal="100" workbookViewId="0">
      <pane ySplit="1" topLeftCell="A2" activePane="bottomLeft" state="frozen"/>
      <selection pane="bottomLeft" activeCell="D11" sqref="D11"/>
    </sheetView>
  </sheetViews>
  <sheetFormatPr defaultColWidth="8.7109375" defaultRowHeight="15" x14ac:dyDescent="0.25"/>
  <cols>
    <col min="1" max="3" width="12" style="8" customWidth="1"/>
    <col min="4" max="4" width="19" style="8" customWidth="1"/>
    <col min="5" max="5" width="29" style="8" customWidth="1"/>
    <col min="6" max="6" width="15" style="8" customWidth="1"/>
    <col min="7" max="7" width="13" style="8" customWidth="1"/>
  </cols>
  <sheetData>
    <row r="1" spans="1:7" ht="15" customHeight="1" x14ac:dyDescent="0.25">
      <c r="A1" s="18" t="s">
        <v>14</v>
      </c>
      <c r="B1" s="18" t="s">
        <v>15</v>
      </c>
      <c r="C1" s="18" t="s">
        <v>428</v>
      </c>
      <c r="D1" s="18" t="s">
        <v>3</v>
      </c>
      <c r="E1" s="18" t="s">
        <v>429</v>
      </c>
      <c r="F1" s="18" t="s">
        <v>430</v>
      </c>
      <c r="G1" s="18" t="s">
        <v>431</v>
      </c>
    </row>
    <row r="2" spans="1:7" ht="15" customHeight="1" x14ac:dyDescent="0.25">
      <c r="A2" s="19" t="s">
        <v>18</v>
      </c>
      <c r="B2" s="19" t="s">
        <v>432</v>
      </c>
      <c r="C2" s="19" t="s">
        <v>433</v>
      </c>
      <c r="D2" s="19" t="s">
        <v>7</v>
      </c>
      <c r="E2" s="19" t="s">
        <v>434</v>
      </c>
      <c r="F2" s="19">
        <v>4.6760000000000002</v>
      </c>
      <c r="G2" s="19">
        <v>3.6059999999999998E-4</v>
      </c>
    </row>
    <row r="3" spans="1:7" ht="15" customHeight="1" x14ac:dyDescent="0.25">
      <c r="A3" s="19" t="s">
        <v>18</v>
      </c>
      <c r="B3" s="19" t="s">
        <v>432</v>
      </c>
      <c r="C3" s="19" t="s">
        <v>433</v>
      </c>
      <c r="D3" s="19" t="s">
        <v>8</v>
      </c>
      <c r="E3" s="19" t="s">
        <v>435</v>
      </c>
      <c r="F3" s="19">
        <v>5.5259999999999998</v>
      </c>
      <c r="G3" s="19">
        <v>1.0788E-3</v>
      </c>
    </row>
    <row r="4" spans="1:7" ht="15" customHeight="1" x14ac:dyDescent="0.25">
      <c r="A4" s="19" t="s">
        <v>18</v>
      </c>
      <c r="B4" s="19" t="s">
        <v>432</v>
      </c>
      <c r="C4" s="19" t="s">
        <v>433</v>
      </c>
      <c r="D4" s="19" t="s">
        <v>9</v>
      </c>
      <c r="E4" s="19" t="s">
        <v>436</v>
      </c>
      <c r="F4" s="19">
        <v>62.542000000000002</v>
      </c>
      <c r="G4" s="19">
        <v>1.9075699999999999E-3</v>
      </c>
    </row>
    <row r="5" spans="1:7" ht="15" customHeight="1" x14ac:dyDescent="0.25">
      <c r="A5" s="19" t="s">
        <v>18</v>
      </c>
      <c r="B5" s="19" t="s">
        <v>432</v>
      </c>
      <c r="C5" s="19" t="s">
        <v>433</v>
      </c>
      <c r="D5" s="19" t="s">
        <v>10</v>
      </c>
      <c r="E5" s="19" t="s">
        <v>437</v>
      </c>
      <c r="F5" s="19">
        <v>4.1159999999999997</v>
      </c>
      <c r="G5" s="19">
        <v>9.2560000000000003E-3</v>
      </c>
    </row>
    <row r="6" spans="1:7" ht="15" customHeight="1" x14ac:dyDescent="0.25">
      <c r="A6" s="19" t="s">
        <v>18</v>
      </c>
      <c r="B6" s="19" t="s">
        <v>432</v>
      </c>
      <c r="C6" s="19" t="s">
        <v>363</v>
      </c>
      <c r="D6" s="19" t="s">
        <v>7</v>
      </c>
      <c r="E6" s="19" t="s">
        <v>434</v>
      </c>
      <c r="F6" s="19">
        <v>4.2690000000000001</v>
      </c>
      <c r="G6" s="19">
        <v>2.7900000000000001E-4</v>
      </c>
    </row>
    <row r="7" spans="1:7" ht="15" customHeight="1" x14ac:dyDescent="0.25">
      <c r="A7" s="19" t="s">
        <v>18</v>
      </c>
      <c r="B7" s="19" t="s">
        <v>432</v>
      </c>
      <c r="C7" s="19" t="s">
        <v>363</v>
      </c>
      <c r="D7" s="19" t="s">
        <v>13</v>
      </c>
      <c r="E7" s="19" t="s">
        <v>438</v>
      </c>
      <c r="F7" s="19">
        <v>6.46</v>
      </c>
      <c r="G7" s="19">
        <v>4.04325E-3</v>
      </c>
    </row>
    <row r="8" spans="1:7" ht="15" customHeight="1" x14ac:dyDescent="0.25">
      <c r="A8" s="19" t="s">
        <v>18</v>
      </c>
      <c r="B8" s="19" t="s">
        <v>432</v>
      </c>
      <c r="C8" s="19" t="s">
        <v>363</v>
      </c>
      <c r="D8" s="19" t="s">
        <v>10</v>
      </c>
      <c r="E8" s="19" t="s">
        <v>437</v>
      </c>
      <c r="F8" s="19">
        <v>5.2320000000000002</v>
      </c>
      <c r="G8" s="19">
        <v>9.1459999999999996E-3</v>
      </c>
    </row>
    <row r="9" spans="1:7" ht="15" customHeight="1" x14ac:dyDescent="0.25">
      <c r="A9" s="19" t="s">
        <v>18</v>
      </c>
      <c r="B9" s="19" t="s">
        <v>432</v>
      </c>
      <c r="C9" s="19" t="s">
        <v>363</v>
      </c>
      <c r="D9" s="19" t="s">
        <v>12</v>
      </c>
      <c r="E9" s="19" t="s">
        <v>439</v>
      </c>
      <c r="F9" s="19">
        <v>10.54</v>
      </c>
      <c r="G9" s="19">
        <v>2.7404999999999999E-2</v>
      </c>
    </row>
    <row r="10" spans="1:7" ht="15" customHeight="1" x14ac:dyDescent="0.25">
      <c r="A10" s="19" t="s">
        <v>82</v>
      </c>
      <c r="B10" s="19" t="s">
        <v>432</v>
      </c>
      <c r="C10" s="19" t="s">
        <v>433</v>
      </c>
      <c r="D10" s="19" t="s">
        <v>7</v>
      </c>
      <c r="E10" s="19" t="s">
        <v>434</v>
      </c>
      <c r="F10" s="19">
        <v>4.0830000000000002</v>
      </c>
      <c r="G10" s="19">
        <v>3.7080000000000001E-4</v>
      </c>
    </row>
    <row r="11" spans="1:7" ht="15" customHeight="1" x14ac:dyDescent="0.25">
      <c r="A11" s="19" t="s">
        <v>82</v>
      </c>
      <c r="B11" s="19" t="s">
        <v>432</v>
      </c>
      <c r="C11" s="19" t="s">
        <v>433</v>
      </c>
      <c r="D11" s="19" t="s">
        <v>8</v>
      </c>
      <c r="E11" s="19" t="s">
        <v>435</v>
      </c>
      <c r="F11" s="19">
        <v>5.7869999999999999</v>
      </c>
      <c r="G11" s="19">
        <v>1.1284000000000001E-3</v>
      </c>
    </row>
    <row r="12" spans="1:7" ht="15" customHeight="1" x14ac:dyDescent="0.25">
      <c r="A12" s="19" t="s">
        <v>82</v>
      </c>
      <c r="B12" s="19" t="s">
        <v>432</v>
      </c>
      <c r="C12" s="19" t="s">
        <v>433</v>
      </c>
      <c r="D12" s="19" t="s">
        <v>9</v>
      </c>
      <c r="E12" s="19" t="s">
        <v>436</v>
      </c>
      <c r="F12" s="19">
        <v>27.268999999999998</v>
      </c>
      <c r="G12" s="19">
        <v>1.0953E-3</v>
      </c>
    </row>
    <row r="13" spans="1:7" ht="15" customHeight="1" x14ac:dyDescent="0.25">
      <c r="A13" s="19" t="s">
        <v>82</v>
      </c>
      <c r="B13" s="19" t="s">
        <v>432</v>
      </c>
      <c r="C13" s="19" t="s">
        <v>433</v>
      </c>
      <c r="D13" s="19" t="s">
        <v>10</v>
      </c>
      <c r="E13" s="19" t="s">
        <v>437</v>
      </c>
      <c r="F13" s="19">
        <v>4.2619999999999996</v>
      </c>
      <c r="G13" s="19">
        <v>9.9319999999999999E-3</v>
      </c>
    </row>
    <row r="14" spans="1:7" ht="15" customHeight="1" x14ac:dyDescent="0.25">
      <c r="A14" s="19" t="s">
        <v>82</v>
      </c>
      <c r="B14" s="19" t="s">
        <v>432</v>
      </c>
      <c r="C14" s="19" t="s">
        <v>363</v>
      </c>
      <c r="D14" s="19" t="s">
        <v>7</v>
      </c>
      <c r="E14" s="19" t="s">
        <v>434</v>
      </c>
      <c r="F14" s="19">
        <v>4.3410000000000002</v>
      </c>
      <c r="G14" s="19">
        <v>3.0299999999999999E-4</v>
      </c>
    </row>
    <row r="15" spans="1:7" ht="15" customHeight="1" x14ac:dyDescent="0.25">
      <c r="A15" s="19" t="s">
        <v>82</v>
      </c>
      <c r="B15" s="19" t="s">
        <v>432</v>
      </c>
      <c r="C15" s="19" t="s">
        <v>363</v>
      </c>
      <c r="D15" s="19" t="s">
        <v>13</v>
      </c>
      <c r="E15" s="19" t="s">
        <v>438</v>
      </c>
      <c r="F15" s="19">
        <v>7.6</v>
      </c>
      <c r="G15" s="19">
        <v>4.4039999999999999E-3</v>
      </c>
    </row>
    <row r="16" spans="1:7" ht="15" customHeight="1" x14ac:dyDescent="0.25">
      <c r="A16" s="19" t="s">
        <v>82</v>
      </c>
      <c r="B16" s="19" t="s">
        <v>432</v>
      </c>
      <c r="C16" s="19" t="s">
        <v>363</v>
      </c>
      <c r="D16" s="19" t="s">
        <v>10</v>
      </c>
      <c r="E16" s="19" t="s">
        <v>437</v>
      </c>
      <c r="F16" s="19">
        <v>5.3380000000000001</v>
      </c>
      <c r="G16" s="19">
        <v>9.3220000000000004E-3</v>
      </c>
    </row>
    <row r="17" spans="1:7" ht="15" customHeight="1" x14ac:dyDescent="0.25">
      <c r="A17" s="19" t="s">
        <v>82</v>
      </c>
      <c r="B17" s="19" t="s">
        <v>432</v>
      </c>
      <c r="C17" s="19" t="s">
        <v>363</v>
      </c>
      <c r="D17" s="19" t="s">
        <v>12</v>
      </c>
      <c r="E17" s="19" t="s">
        <v>439</v>
      </c>
      <c r="F17" s="19">
        <v>12.563000000000001</v>
      </c>
      <c r="G17" s="19">
        <v>2.9995000000000001E-2</v>
      </c>
    </row>
    <row r="18" spans="1:7" ht="15" customHeight="1" x14ac:dyDescent="0.25">
      <c r="A18" s="19" t="s">
        <v>133</v>
      </c>
      <c r="B18" s="19" t="s">
        <v>440</v>
      </c>
      <c r="C18" s="19" t="s">
        <v>433</v>
      </c>
      <c r="D18" s="19" t="s">
        <v>7</v>
      </c>
      <c r="E18" s="19" t="s">
        <v>434</v>
      </c>
      <c r="F18" s="19">
        <v>4.9770000000000003</v>
      </c>
      <c r="G18" s="19">
        <v>4.1925000000000003E-4</v>
      </c>
    </row>
    <row r="19" spans="1:7" ht="15" customHeight="1" x14ac:dyDescent="0.25">
      <c r="A19" s="19" t="s">
        <v>133</v>
      </c>
      <c r="B19" s="19" t="s">
        <v>440</v>
      </c>
      <c r="C19" s="19" t="s">
        <v>433</v>
      </c>
      <c r="D19" s="19" t="s">
        <v>8</v>
      </c>
      <c r="E19" s="19" t="s">
        <v>435</v>
      </c>
      <c r="F19" s="19">
        <v>5.8390000000000004</v>
      </c>
      <c r="G19" s="19">
        <v>1.14915E-3</v>
      </c>
    </row>
    <row r="20" spans="1:7" ht="15" customHeight="1" x14ac:dyDescent="0.25">
      <c r="A20" s="19" t="s">
        <v>133</v>
      </c>
      <c r="B20" s="19" t="s">
        <v>440</v>
      </c>
      <c r="C20" s="19" t="s">
        <v>433</v>
      </c>
      <c r="D20" s="19" t="s">
        <v>9</v>
      </c>
      <c r="E20" s="19" t="s">
        <v>436</v>
      </c>
      <c r="F20" s="19">
        <v>110.764</v>
      </c>
      <c r="G20" s="19">
        <v>1.7936499999999999E-3</v>
      </c>
    </row>
    <row r="21" spans="1:7" ht="15" customHeight="1" x14ac:dyDescent="0.25">
      <c r="A21" s="19" t="s">
        <v>133</v>
      </c>
      <c r="B21" s="19" t="s">
        <v>440</v>
      </c>
      <c r="C21" s="19" t="s">
        <v>433</v>
      </c>
      <c r="D21" s="19" t="s">
        <v>10</v>
      </c>
      <c r="E21" s="19" t="s">
        <v>437</v>
      </c>
      <c r="F21" s="19">
        <v>5.6079999999999997</v>
      </c>
      <c r="G21" s="19">
        <v>1.2475999999999999E-2</v>
      </c>
    </row>
    <row r="22" spans="1:7" ht="15" customHeight="1" x14ac:dyDescent="0.25">
      <c r="A22" s="19" t="s">
        <v>133</v>
      </c>
      <c r="B22" s="19" t="s">
        <v>440</v>
      </c>
      <c r="C22" s="19" t="s">
        <v>363</v>
      </c>
      <c r="D22" s="19" t="s">
        <v>7</v>
      </c>
      <c r="E22" s="19" t="s">
        <v>434</v>
      </c>
      <c r="F22" s="19">
        <v>4.9089999999999998</v>
      </c>
      <c r="G22" s="19">
        <v>2.5845000000000002E-4</v>
      </c>
    </row>
    <row r="23" spans="1:7" ht="15" customHeight="1" x14ac:dyDescent="0.25">
      <c r="A23" s="19" t="s">
        <v>133</v>
      </c>
      <c r="B23" s="19" t="s">
        <v>440</v>
      </c>
      <c r="C23" s="19" t="s">
        <v>363</v>
      </c>
      <c r="D23" s="19" t="s">
        <v>13</v>
      </c>
      <c r="E23" s="19" t="s">
        <v>438</v>
      </c>
      <c r="F23" s="19">
        <v>5.165</v>
      </c>
      <c r="G23" s="19">
        <v>2.8072499999999998E-3</v>
      </c>
    </row>
    <row r="24" spans="1:7" ht="15" customHeight="1" x14ac:dyDescent="0.25">
      <c r="A24" s="19" t="s">
        <v>133</v>
      </c>
      <c r="B24" s="19" t="s">
        <v>440</v>
      </c>
      <c r="C24" s="19" t="s">
        <v>363</v>
      </c>
      <c r="D24" s="19" t="s">
        <v>10</v>
      </c>
      <c r="E24" s="19" t="s">
        <v>437</v>
      </c>
      <c r="F24" s="19">
        <v>4.1310000000000002</v>
      </c>
      <c r="G24" s="19">
        <v>7.1539999999999998E-3</v>
      </c>
    </row>
    <row r="25" spans="1:7" ht="15" customHeight="1" x14ac:dyDescent="0.25">
      <c r="A25" s="19" t="s">
        <v>133</v>
      </c>
      <c r="B25" s="19" t="s">
        <v>440</v>
      </c>
      <c r="C25" s="19" t="s">
        <v>363</v>
      </c>
      <c r="D25" s="19" t="s">
        <v>12</v>
      </c>
      <c r="E25" s="19" t="s">
        <v>439</v>
      </c>
      <c r="F25" s="19">
        <v>7.4960000000000004</v>
      </c>
      <c r="G25" s="19">
        <v>2.1600000000000001E-2</v>
      </c>
    </row>
    <row r="26" spans="1:7" ht="15" customHeight="1" x14ac:dyDescent="0.25">
      <c r="A26" s="19" t="s">
        <v>204</v>
      </c>
      <c r="B26" s="19" t="s">
        <v>440</v>
      </c>
      <c r="C26" s="19" t="s">
        <v>433</v>
      </c>
      <c r="D26" s="19" t="s">
        <v>7</v>
      </c>
      <c r="E26" s="19" t="s">
        <v>434</v>
      </c>
      <c r="F26" s="19">
        <v>3.569</v>
      </c>
      <c r="G26" s="19">
        <v>3.7740000000000001E-4</v>
      </c>
    </row>
    <row r="27" spans="1:7" ht="15" customHeight="1" x14ac:dyDescent="0.25">
      <c r="A27" s="19" t="s">
        <v>204</v>
      </c>
      <c r="B27" s="19" t="s">
        <v>440</v>
      </c>
      <c r="C27" s="19" t="s">
        <v>433</v>
      </c>
      <c r="D27" s="19" t="s">
        <v>8</v>
      </c>
      <c r="E27" s="19" t="s">
        <v>435</v>
      </c>
      <c r="F27" s="19">
        <v>5.173</v>
      </c>
      <c r="G27" s="19">
        <v>1.0032000000000001E-3</v>
      </c>
    </row>
    <row r="28" spans="1:7" ht="15" customHeight="1" x14ac:dyDescent="0.25">
      <c r="A28" s="19" t="s">
        <v>204</v>
      </c>
      <c r="B28" s="19" t="s">
        <v>440</v>
      </c>
      <c r="C28" s="19" t="s">
        <v>433</v>
      </c>
      <c r="D28" s="19" t="s">
        <v>9</v>
      </c>
      <c r="E28" s="19" t="s">
        <v>436</v>
      </c>
      <c r="F28" s="19">
        <v>57.326000000000001</v>
      </c>
      <c r="G28" s="19">
        <v>1.3591499999999999E-3</v>
      </c>
    </row>
    <row r="29" spans="1:7" ht="15" customHeight="1" x14ac:dyDescent="0.25">
      <c r="A29" s="19" t="s">
        <v>204</v>
      </c>
      <c r="B29" s="19" t="s">
        <v>440</v>
      </c>
      <c r="C29" s="19" t="s">
        <v>433</v>
      </c>
      <c r="D29" s="19" t="s">
        <v>10</v>
      </c>
      <c r="E29" s="19" t="s">
        <v>437</v>
      </c>
      <c r="F29" s="19">
        <v>5.4909999999999997</v>
      </c>
      <c r="G29" s="19">
        <v>1.222E-2</v>
      </c>
    </row>
    <row r="30" spans="1:7" ht="15" customHeight="1" x14ac:dyDescent="0.25">
      <c r="A30" s="19" t="s">
        <v>204</v>
      </c>
      <c r="B30" s="19" t="s">
        <v>440</v>
      </c>
      <c r="C30" s="19" t="s">
        <v>363</v>
      </c>
      <c r="D30" s="19" t="s">
        <v>7</v>
      </c>
      <c r="E30" s="19" t="s">
        <v>434</v>
      </c>
      <c r="F30" s="19">
        <v>3.206</v>
      </c>
      <c r="G30" s="19">
        <v>2.376E-4</v>
      </c>
    </row>
    <row r="31" spans="1:7" ht="15" customHeight="1" x14ac:dyDescent="0.25">
      <c r="A31" s="19" t="s">
        <v>204</v>
      </c>
      <c r="B31" s="19" t="s">
        <v>440</v>
      </c>
      <c r="C31" s="19" t="s">
        <v>363</v>
      </c>
      <c r="D31" s="19" t="s">
        <v>13</v>
      </c>
      <c r="E31" s="19" t="s">
        <v>438</v>
      </c>
      <c r="F31" s="19">
        <v>7.7210000000000001</v>
      </c>
      <c r="G31" s="19">
        <v>3.9997499999999998E-3</v>
      </c>
    </row>
    <row r="32" spans="1:7" ht="15" customHeight="1" x14ac:dyDescent="0.25">
      <c r="A32" s="19" t="s">
        <v>204</v>
      </c>
      <c r="B32" s="19" t="s">
        <v>440</v>
      </c>
      <c r="C32" s="19" t="s">
        <v>363</v>
      </c>
      <c r="D32" s="19" t="s">
        <v>10</v>
      </c>
      <c r="E32" s="19" t="s">
        <v>437</v>
      </c>
      <c r="F32" s="19">
        <v>4.5970000000000004</v>
      </c>
      <c r="G32" s="19">
        <v>7.0780000000000001E-3</v>
      </c>
    </row>
    <row r="33" spans="1:7" ht="15" customHeight="1" x14ac:dyDescent="0.25">
      <c r="A33" s="19" t="s">
        <v>204</v>
      </c>
      <c r="B33" s="19" t="s">
        <v>440</v>
      </c>
      <c r="C33" s="19" t="s">
        <v>363</v>
      </c>
      <c r="D33" s="19" t="s">
        <v>12</v>
      </c>
      <c r="E33" s="19" t="s">
        <v>439</v>
      </c>
      <c r="F33" s="19">
        <v>10.874000000000001</v>
      </c>
      <c r="G33" s="19">
        <v>2.716E-2</v>
      </c>
    </row>
    <row r="34" spans="1:7" ht="15" customHeight="1" x14ac:dyDescent="0.25">
      <c r="A34" s="19" t="s">
        <v>257</v>
      </c>
      <c r="B34" s="19" t="s">
        <v>441</v>
      </c>
      <c r="C34" s="19" t="s">
        <v>433</v>
      </c>
      <c r="D34" s="19" t="s">
        <v>7</v>
      </c>
      <c r="E34" s="19" t="s">
        <v>434</v>
      </c>
      <c r="F34" s="19">
        <v>3.3239999999999998</v>
      </c>
      <c r="G34" s="19">
        <v>3.8549999999999999E-4</v>
      </c>
    </row>
    <row r="35" spans="1:7" ht="15" customHeight="1" x14ac:dyDescent="0.25">
      <c r="A35" s="19" t="s">
        <v>257</v>
      </c>
      <c r="B35" s="19" t="s">
        <v>441</v>
      </c>
      <c r="C35" s="19" t="s">
        <v>433</v>
      </c>
      <c r="D35" s="19" t="s">
        <v>8</v>
      </c>
      <c r="E35" s="19" t="s">
        <v>435</v>
      </c>
      <c r="F35" s="19">
        <v>5.6210000000000004</v>
      </c>
      <c r="G35" s="19">
        <v>9.9930000000000006E-4</v>
      </c>
    </row>
    <row r="36" spans="1:7" ht="15" customHeight="1" x14ac:dyDescent="0.25">
      <c r="A36" s="19" t="s">
        <v>257</v>
      </c>
      <c r="B36" s="19" t="s">
        <v>441</v>
      </c>
      <c r="C36" s="19" t="s">
        <v>433</v>
      </c>
      <c r="D36" s="19" t="s">
        <v>9</v>
      </c>
      <c r="E36" s="19" t="s">
        <v>436</v>
      </c>
      <c r="F36" s="19">
        <v>47.661999999999999</v>
      </c>
      <c r="G36" s="19">
        <v>5.3843999999999995E-4</v>
      </c>
    </row>
    <row r="37" spans="1:7" ht="15" customHeight="1" x14ac:dyDescent="0.25">
      <c r="A37" s="19" t="s">
        <v>257</v>
      </c>
      <c r="B37" s="19" t="s">
        <v>441</v>
      </c>
      <c r="C37" s="19" t="s">
        <v>433</v>
      </c>
      <c r="D37" s="19" t="s">
        <v>10</v>
      </c>
      <c r="E37" s="19" t="s">
        <v>437</v>
      </c>
      <c r="F37" s="19">
        <v>10.866</v>
      </c>
      <c r="G37" s="19">
        <v>2.0469999999999999E-2</v>
      </c>
    </row>
    <row r="38" spans="1:7" ht="15" customHeight="1" x14ac:dyDescent="0.25">
      <c r="A38" s="19" t="s">
        <v>257</v>
      </c>
      <c r="B38" s="19" t="s">
        <v>441</v>
      </c>
      <c r="C38" s="19" t="s">
        <v>363</v>
      </c>
      <c r="D38" s="19" t="s">
        <v>7</v>
      </c>
      <c r="E38" s="19" t="s">
        <v>434</v>
      </c>
      <c r="F38" s="19">
        <v>2.8769999999999998</v>
      </c>
      <c r="G38" s="19">
        <v>2.2110000000000001E-4</v>
      </c>
    </row>
    <row r="39" spans="1:7" ht="15" customHeight="1" x14ac:dyDescent="0.25">
      <c r="A39" s="19" t="s">
        <v>257</v>
      </c>
      <c r="B39" s="19" t="s">
        <v>441</v>
      </c>
      <c r="C39" s="19" t="s">
        <v>363</v>
      </c>
      <c r="D39" s="19" t="s">
        <v>13</v>
      </c>
      <c r="E39" s="19" t="s">
        <v>438</v>
      </c>
      <c r="F39" s="19">
        <v>4.1989999999999998</v>
      </c>
      <c r="G39" s="19">
        <v>2.1614999999999998E-3</v>
      </c>
    </row>
    <row r="40" spans="1:7" ht="15" customHeight="1" x14ac:dyDescent="0.25">
      <c r="A40" s="19" t="s">
        <v>257</v>
      </c>
      <c r="B40" s="19" t="s">
        <v>441</v>
      </c>
      <c r="C40" s="19" t="s">
        <v>363</v>
      </c>
      <c r="D40" s="19" t="s">
        <v>10</v>
      </c>
      <c r="E40" s="19" t="s">
        <v>437</v>
      </c>
      <c r="F40" s="19">
        <v>3.6160000000000001</v>
      </c>
      <c r="G40" s="19">
        <v>5.7780000000000001E-3</v>
      </c>
    </row>
    <row r="41" spans="1:7" ht="15" customHeight="1" x14ac:dyDescent="0.25">
      <c r="A41" s="19" t="s">
        <v>257</v>
      </c>
      <c r="B41" s="19" t="s">
        <v>441</v>
      </c>
      <c r="C41" s="19" t="s">
        <v>363</v>
      </c>
      <c r="D41" s="19" t="s">
        <v>12</v>
      </c>
      <c r="E41" s="19" t="s">
        <v>439</v>
      </c>
      <c r="F41" s="19">
        <v>7.5640000000000001</v>
      </c>
      <c r="G41" s="19">
        <v>2.1985000000000001E-2</v>
      </c>
    </row>
    <row r="42" spans="1:7" ht="15" customHeight="1" x14ac:dyDescent="0.25">
      <c r="A42" s="19" t="s">
        <v>326</v>
      </c>
      <c r="B42" s="19" t="s">
        <v>441</v>
      </c>
      <c r="C42" s="19" t="s">
        <v>433</v>
      </c>
      <c r="D42" s="19" t="s">
        <v>7</v>
      </c>
      <c r="E42" s="19" t="s">
        <v>434</v>
      </c>
      <c r="F42" s="19">
        <v>3.9769999999999999</v>
      </c>
      <c r="G42" s="19">
        <v>3.6285000000000001E-4</v>
      </c>
    </row>
    <row r="43" spans="1:7" ht="15" customHeight="1" x14ac:dyDescent="0.25">
      <c r="A43" s="19" t="s">
        <v>326</v>
      </c>
      <c r="B43" s="19" t="s">
        <v>441</v>
      </c>
      <c r="C43" s="19" t="s">
        <v>433</v>
      </c>
      <c r="D43" s="19" t="s">
        <v>8</v>
      </c>
      <c r="E43" s="19" t="s">
        <v>435</v>
      </c>
      <c r="F43" s="19">
        <v>5.23</v>
      </c>
      <c r="G43" s="19">
        <v>1.03875E-3</v>
      </c>
    </row>
    <row r="44" spans="1:7" ht="15" customHeight="1" x14ac:dyDescent="0.25">
      <c r="A44" s="19" t="s">
        <v>326</v>
      </c>
      <c r="B44" s="19" t="s">
        <v>441</v>
      </c>
      <c r="C44" s="19" t="s">
        <v>433</v>
      </c>
      <c r="D44" s="19" t="s">
        <v>9</v>
      </c>
      <c r="E44" s="19" t="s">
        <v>436</v>
      </c>
      <c r="F44" s="19">
        <v>24.965</v>
      </c>
      <c r="G44" s="19">
        <v>6.9036499999999997E-4</v>
      </c>
    </row>
    <row r="45" spans="1:7" ht="15" customHeight="1" x14ac:dyDescent="0.25">
      <c r="A45" s="19" t="s">
        <v>326</v>
      </c>
      <c r="B45" s="19" t="s">
        <v>441</v>
      </c>
      <c r="C45" s="19" t="s">
        <v>433</v>
      </c>
      <c r="D45" s="19" t="s">
        <v>10</v>
      </c>
      <c r="E45" s="19" t="s">
        <v>437</v>
      </c>
      <c r="F45" s="19">
        <v>9.4290000000000003</v>
      </c>
      <c r="G45" s="19">
        <v>1.1310000000000001E-2</v>
      </c>
    </row>
    <row r="46" spans="1:7" ht="15" customHeight="1" x14ac:dyDescent="0.25">
      <c r="A46" s="19" t="s">
        <v>326</v>
      </c>
      <c r="B46" s="19" t="s">
        <v>441</v>
      </c>
      <c r="C46" s="19" t="s">
        <v>363</v>
      </c>
      <c r="D46" s="19" t="s">
        <v>7</v>
      </c>
      <c r="E46" s="19" t="s">
        <v>434</v>
      </c>
      <c r="F46" s="19">
        <v>3.113</v>
      </c>
      <c r="G46" s="19">
        <v>2.2785000000000001E-4</v>
      </c>
    </row>
    <row r="47" spans="1:7" ht="15" customHeight="1" x14ac:dyDescent="0.25">
      <c r="A47" s="19" t="s">
        <v>326</v>
      </c>
      <c r="B47" s="19" t="s">
        <v>441</v>
      </c>
      <c r="C47" s="19" t="s">
        <v>363</v>
      </c>
      <c r="D47" s="19" t="s">
        <v>13</v>
      </c>
      <c r="E47" s="19" t="s">
        <v>438</v>
      </c>
      <c r="F47" s="19">
        <v>5.4710000000000001</v>
      </c>
      <c r="G47" s="19">
        <v>3.9592500000000001E-3</v>
      </c>
    </row>
    <row r="48" spans="1:7" ht="15" customHeight="1" x14ac:dyDescent="0.25">
      <c r="A48" s="19" t="s">
        <v>326</v>
      </c>
      <c r="B48" s="19" t="s">
        <v>441</v>
      </c>
      <c r="C48" s="19" t="s">
        <v>363</v>
      </c>
      <c r="D48" s="19" t="s">
        <v>10</v>
      </c>
      <c r="E48" s="19" t="s">
        <v>437</v>
      </c>
      <c r="F48" s="19">
        <v>3.964</v>
      </c>
      <c r="G48" s="19">
        <v>6.0679999999999996E-3</v>
      </c>
    </row>
    <row r="49" spans="1:7" ht="15" customHeight="1" x14ac:dyDescent="0.25">
      <c r="A49" s="19" t="s">
        <v>326</v>
      </c>
      <c r="B49" s="19" t="s">
        <v>441</v>
      </c>
      <c r="C49" s="19" t="s">
        <v>363</v>
      </c>
      <c r="D49" s="19" t="s">
        <v>12</v>
      </c>
      <c r="E49" s="19" t="s">
        <v>439</v>
      </c>
      <c r="F49" s="19">
        <v>12.855</v>
      </c>
      <c r="G49" s="19">
        <v>2.9260000000000001E-2</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B4F35"/>
  </sheetPr>
  <dimension ref="A1:N33"/>
  <sheetViews>
    <sheetView showGridLines="0" zoomScaleNormal="100" workbookViewId="0">
      <selection activeCell="D29" sqref="D29"/>
    </sheetView>
  </sheetViews>
  <sheetFormatPr defaultColWidth="8.7109375" defaultRowHeight="15" x14ac:dyDescent="0.25"/>
  <cols>
    <col min="1" max="1" width="22" customWidth="1"/>
    <col min="2" max="4" width="17" customWidth="1"/>
    <col min="5" max="20" width="9" customWidth="1"/>
  </cols>
  <sheetData>
    <row r="1" spans="1:14" ht="21" x14ac:dyDescent="0.35">
      <c r="A1" s="1" t="s">
        <v>0</v>
      </c>
    </row>
    <row r="2" spans="1:14" ht="43.5" customHeight="1" x14ac:dyDescent="0.25">
      <c r="A2" s="25" t="s">
        <v>1</v>
      </c>
      <c r="B2" s="25"/>
      <c r="C2" s="25"/>
      <c r="D2" s="25"/>
      <c r="E2" s="25"/>
      <c r="F2" s="25"/>
      <c r="G2" s="25"/>
      <c r="H2" s="25"/>
      <c r="I2" s="25"/>
      <c r="J2" s="25"/>
      <c r="K2" s="25"/>
      <c r="L2" s="25"/>
      <c r="M2" s="25"/>
      <c r="N2" s="25"/>
    </row>
    <row r="4" spans="1:14" ht="15.75" x14ac:dyDescent="0.25">
      <c r="A4" s="2" t="s">
        <v>2</v>
      </c>
    </row>
    <row r="5" spans="1:14" ht="30" customHeight="1" x14ac:dyDescent="0.25">
      <c r="A5" s="3" t="s">
        <v>3</v>
      </c>
      <c r="B5" s="3" t="s">
        <v>4</v>
      </c>
      <c r="C5" s="3" t="s">
        <v>5</v>
      </c>
      <c r="D5" s="3" t="s">
        <v>6</v>
      </c>
    </row>
    <row r="6" spans="1:14" x14ac:dyDescent="0.25">
      <c r="A6" s="4" t="s">
        <v>7</v>
      </c>
      <c r="B6" s="5">
        <f>AVERAGEIFS(Summary!$F$2:$F$49,Summary!$C$2:$C$49,"Extraction",Summary!$D$2:$D$49,A6)</f>
        <v>4.101</v>
      </c>
      <c r="C6" s="6">
        <f>AVERAGEIFS(Summary!$G$2:$G$49,Summary!$C$2:$C$49,"Extraction",Summary!$D$2:$D$49,A6)</f>
        <v>3.7940000000000001E-4</v>
      </c>
      <c r="D6" s="7">
        <f>COUNTIFS(Extraction!D2:D123,"&lt;&gt;",Extraction!E2:E123,"&lt;&gt;")/COUNTIF(Extraction!D2:D123,"&lt;&gt;")</f>
        <v>0.82653061224489799</v>
      </c>
    </row>
    <row r="7" spans="1:14" x14ac:dyDescent="0.25">
      <c r="A7" s="4" t="s">
        <v>8</v>
      </c>
      <c r="B7" s="5">
        <f>AVERAGEIFS(Summary!$F$2:$F$49,Summary!$C$2:$C$49,"Extraction",Summary!$D$2:$D$49,A7)</f>
        <v>5.5293333333333337</v>
      </c>
      <c r="C7" s="6">
        <f>AVERAGEIFS(Summary!$G$2:$G$49,Summary!$C$2:$C$49,"Extraction",Summary!$D$2:$D$49,A7)</f>
        <v>1.0662666666666667E-3</v>
      </c>
      <c r="D7" s="7">
        <f>COUNTIFS(Extraction!D2:D123,"&lt;&gt;",Extraction!F2:F123,"&lt;&gt;")/COUNTIF(Extraction!D2:D123,"&lt;&gt;")</f>
        <v>0.82653061224489799</v>
      </c>
    </row>
    <row r="8" spans="1:14" x14ac:dyDescent="0.25">
      <c r="A8" s="4" t="s">
        <v>9</v>
      </c>
      <c r="B8" s="5">
        <f>AVERAGEIFS(Summary!$F$2:$F$49,Summary!$C$2:$C$49,"Extraction",Summary!$D$2:$D$49,A8)</f>
        <v>55.087999999999994</v>
      </c>
      <c r="C8" s="6">
        <f>AVERAGEIFS(Summary!$G$2:$G$49,Summary!$C$2:$C$49,"Extraction",Summary!$D$2:$D$49,A8)</f>
        <v>1.2307458333333334E-3</v>
      </c>
      <c r="D8" s="7">
        <f>COUNTIFS(Extraction!D2:D123,"&lt;&gt;",Extraction!G2:G123,"&lt;&gt;")/COUNTIF(Extraction!D2:D123,"&lt;&gt;")</f>
        <v>0.72448979591836737</v>
      </c>
    </row>
    <row r="9" spans="1:14" x14ac:dyDescent="0.25">
      <c r="A9" s="4" t="s">
        <v>10</v>
      </c>
      <c r="B9" s="5">
        <f>AVERAGEIFS(Summary!$F$2:$F$49,Summary!$C$2:$C$49,"Extraction",Summary!$D$2:$D$49,A9)</f>
        <v>6.6286666666666667</v>
      </c>
      <c r="C9" s="6">
        <f>AVERAGEIFS(Summary!$G$2:$G$49,Summary!$C$2:$C$49,"Extraction",Summary!$D$2:$D$49,A9)</f>
        <v>1.2610666666666666E-2</v>
      </c>
      <c r="D9" s="7">
        <f>COUNTIFS(Extraction!D2:D123,"&lt;&gt;",Extraction!H2:H123,"&lt;&gt;")/COUNTIF(Extraction!D2:D123,"&lt;&gt;")</f>
        <v>0.81632653061224492</v>
      </c>
    </row>
    <row r="28" spans="1:4" ht="15.75" x14ac:dyDescent="0.25">
      <c r="A28" s="2" t="s">
        <v>11</v>
      </c>
    </row>
    <row r="29" spans="1:4" ht="30" customHeight="1" x14ac:dyDescent="0.25">
      <c r="A29" s="3" t="s">
        <v>3</v>
      </c>
      <c r="B29" s="3" t="s">
        <v>4</v>
      </c>
      <c r="C29" s="3" t="s">
        <v>5</v>
      </c>
      <c r="D29" s="3" t="s">
        <v>6</v>
      </c>
    </row>
    <row r="30" spans="1:4" x14ac:dyDescent="0.25">
      <c r="A30" s="4" t="s">
        <v>7</v>
      </c>
      <c r="B30" s="5">
        <f>AVERAGEIFS(Summary!$F$2:$F$49,Summary!$C$2:$C$49,"Reasoning",Summary!$D$2:$D$49,A30)</f>
        <v>3.7858333333333327</v>
      </c>
      <c r="C30" s="6">
        <f>AVERAGEIFS(Summary!$G$2:$G$49,Summary!$C$2:$C$49,"Reasoning",Summary!$D$2:$D$49,A30)</f>
        <v>2.5450000000000001E-4</v>
      </c>
      <c r="D30" s="7">
        <f>COUNTIFS(Reasoning!D2:D17,"&lt;&gt;",Reasoning!E2:E17,"&lt;&gt;")/COUNTIF(Reasoning!D2:D17,"&lt;&gt;")</f>
        <v>1</v>
      </c>
    </row>
    <row r="31" spans="1:4" x14ac:dyDescent="0.25">
      <c r="A31" s="4" t="s">
        <v>10</v>
      </c>
      <c r="B31" s="5">
        <f>AVERAGEIFS(Summary!$F$2:$F$49,Summary!$C$2:$C$49,"Reasoning",Summary!$D$2:$D$49,A31)</f>
        <v>4.4796666666666667</v>
      </c>
      <c r="C31" s="6">
        <f>AVERAGEIFS(Summary!$G$2:$G$49,Summary!$C$2:$C$49,"Reasoning",Summary!$D$2:$D$49,A31)</f>
        <v>7.4243333333333323E-3</v>
      </c>
      <c r="D31" s="7">
        <f>COUNTIFS(Reasoning!D2:D17,"&lt;&gt;",Reasoning!F2:F17,"&lt;&gt;")/COUNTIF(Reasoning!D2:D17,"&lt;&gt;")</f>
        <v>1</v>
      </c>
    </row>
    <row r="32" spans="1:4" x14ac:dyDescent="0.25">
      <c r="A32" s="4" t="s">
        <v>12</v>
      </c>
      <c r="B32" s="5">
        <f>AVERAGEIFS(Summary!$F$2:$F$49,Summary!$C$2:$C$49,"Reasoning",Summary!$D$2:$D$49,A32)</f>
        <v>10.315333333333335</v>
      </c>
      <c r="C32" s="6">
        <f>AVERAGEIFS(Summary!$G$2:$G$49,Summary!$C$2:$C$49,"Reasoning",Summary!$D$2:$D$49,A32)</f>
        <v>2.623416666666667E-2</v>
      </c>
      <c r="D32" s="7">
        <f>COUNTIFS(Reasoning!D2:D17,"&lt;&gt;",Reasoning!G2:G17,"&lt;&gt;")/COUNTIF(Reasoning!D2:D17,"&lt;&gt;")</f>
        <v>1</v>
      </c>
    </row>
    <row r="33" spans="1:4" x14ac:dyDescent="0.25">
      <c r="A33" s="4" t="s">
        <v>13</v>
      </c>
      <c r="B33" s="5">
        <f>AVERAGEIFS(Summary!$F$2:$F$49,Summary!$C$2:$C$49,"Reasoning",Summary!$D$2:$D$49,A33)</f>
        <v>6.1026666666666669</v>
      </c>
      <c r="C33" s="6">
        <f>AVERAGEIFS(Summary!$G$2:$G$49,Summary!$C$2:$C$49,"Reasoning",Summary!$D$2:$D$49,A33)</f>
        <v>3.5625000000000001E-3</v>
      </c>
      <c r="D33" s="7">
        <f>COUNTIFS(Reasoning!D2:D17,"&lt;&gt;",Reasoning!H2:H17,"&lt;&gt;")/COUNTIF(Reasoning!D2:D17,"&lt;&gt;")</f>
        <v>1</v>
      </c>
    </row>
  </sheetData>
  <mergeCells count="1">
    <mergeCell ref="A2:N2"/>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Scenarios</vt:lpstr>
      <vt:lpstr>Extraction</vt:lpstr>
      <vt:lpstr>Reasoning</vt:lpstr>
      <vt:lpstr>Summary</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Doha Mahmoud Ramadan Mohamed</cp:lastModifiedBy>
  <cp:revision>3</cp:revision>
  <dcterms:created xsi:type="dcterms:W3CDTF">2026-10-03T21:24:13Z</dcterms:created>
  <dcterms:modified xsi:type="dcterms:W3CDTF">2026-10-05T07:57:26Z</dcterms:modified>
  <dc:language>en-US</dc:language>
</cp:coreProperties>
</file>