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hamed-ismail\Desktop\"/>
    </mc:Choice>
  </mc:AlternateContent>
  <xr:revisionPtr revIDLastSave="0" documentId="13_ncr:1_{91401395-F3CA-4A8A-85FC-2A7AE4F94E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acker" sheetId="1" r:id="rId1"/>
    <sheet name="Checklist" sheetId="2" r:id="rId2"/>
  </sheets>
  <definedNames>
    <definedName name="_xlnm._FilterDatabase" localSheetId="1" hidden="1">Checklist!$A$7:$L$192</definedName>
    <definedName name="_xlnm._FilterDatabase" localSheetId="0" hidden="1">Tracker!$A$13:$N$137</definedName>
    <definedName name="_xlnm.Print_Titles" localSheetId="1">Checklist!$7:$7</definedName>
    <definedName name="_xlnm.Print_Titles" localSheetId="0">Tracker!$13:$13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2" l="1"/>
  <c r="C5" i="2"/>
  <c r="Y137" i="1"/>
  <c r="L137" i="1"/>
  <c r="Y136" i="1"/>
  <c r="L136" i="1"/>
  <c r="Y135" i="1"/>
  <c r="L135" i="1"/>
  <c r="Y133" i="1"/>
  <c r="L133" i="1"/>
  <c r="Y132" i="1"/>
  <c r="L132" i="1"/>
  <c r="Y131" i="1"/>
  <c r="L131" i="1"/>
  <c r="Y130" i="1"/>
  <c r="L130" i="1"/>
  <c r="Y129" i="1"/>
  <c r="L129" i="1"/>
  <c r="Y128" i="1"/>
  <c r="L128" i="1"/>
  <c r="Y127" i="1"/>
  <c r="L127" i="1"/>
  <c r="L125" i="1"/>
  <c r="L124" i="1"/>
  <c r="N123" i="1"/>
  <c r="D123" i="1"/>
  <c r="L123" i="1" s="1"/>
  <c r="L122" i="1"/>
  <c r="L121" i="1"/>
  <c r="L120" i="1" s="1"/>
  <c r="N120" i="1"/>
  <c r="D120" i="1"/>
  <c r="E120" i="1" s="1"/>
  <c r="Y120" i="1" s="1"/>
  <c r="L119" i="1"/>
  <c r="L118" i="1"/>
  <c r="L117" i="1"/>
  <c r="L116" i="1"/>
  <c r="N115" i="1"/>
  <c r="D115" i="1"/>
  <c r="K115" i="1" s="1"/>
  <c r="J115" i="1" s="1"/>
  <c r="L114" i="1"/>
  <c r="L113" i="1"/>
  <c r="L112" i="1"/>
  <c r="N111" i="1"/>
  <c r="D111" i="1"/>
  <c r="E111" i="1" s="1"/>
  <c r="Y111" i="1" s="1"/>
  <c r="L110" i="1"/>
  <c r="L109" i="1"/>
  <c r="N108" i="1"/>
  <c r="D108" i="1"/>
  <c r="L108" i="1" s="1"/>
  <c r="L107" i="1"/>
  <c r="L106" i="1"/>
  <c r="L105" i="1"/>
  <c r="L104" i="1"/>
  <c r="L103" i="1"/>
  <c r="N102" i="1"/>
  <c r="D102" i="1"/>
  <c r="K102" i="1" s="1"/>
  <c r="J102" i="1" s="1"/>
  <c r="L101" i="1"/>
  <c r="N100" i="1"/>
  <c r="D100" i="1"/>
  <c r="K100" i="1" s="1"/>
  <c r="J100" i="1" s="1"/>
  <c r="L99" i="1"/>
  <c r="M98" i="1"/>
  <c r="L98" i="1"/>
  <c r="N97" i="1"/>
  <c r="D97" i="1"/>
  <c r="E97" i="1" s="1"/>
  <c r="Y97" i="1" s="1"/>
  <c r="M96" i="1"/>
  <c r="L96" i="1"/>
  <c r="M95" i="1"/>
  <c r="L95" i="1"/>
  <c r="W94" i="1"/>
  <c r="M94" i="1"/>
  <c r="L94" i="1"/>
  <c r="W93" i="1"/>
  <c r="W96" i="1" s="1"/>
  <c r="X96" i="1" s="1"/>
  <c r="N93" i="1"/>
  <c r="D93" i="1"/>
  <c r="L93" i="1" s="1"/>
  <c r="L91" i="1"/>
  <c r="L90" i="1"/>
  <c r="N89" i="1"/>
  <c r="D89" i="1"/>
  <c r="K89" i="1" s="1"/>
  <c r="J89" i="1" s="1"/>
  <c r="L88" i="1"/>
  <c r="N87" i="1"/>
  <c r="D87" i="1"/>
  <c r="L87" i="1" s="1"/>
  <c r="L86" i="1"/>
  <c r="L85" i="1"/>
  <c r="L84" i="1"/>
  <c r="N83" i="1"/>
  <c r="D83" i="1"/>
  <c r="E83" i="1" s="1"/>
  <c r="Y83" i="1" s="1"/>
  <c r="L82" i="1"/>
  <c r="N81" i="1"/>
  <c r="D81" i="1"/>
  <c r="K81" i="1" s="1"/>
  <c r="J81" i="1" s="1"/>
  <c r="L80" i="1"/>
  <c r="L79" i="1"/>
  <c r="L78" i="1"/>
  <c r="N77" i="1"/>
  <c r="D77" i="1"/>
  <c r="K77" i="1" s="1"/>
  <c r="J77" i="1" s="1"/>
  <c r="L76" i="1"/>
  <c r="L75" i="1"/>
  <c r="L74" i="1"/>
  <c r="N73" i="1"/>
  <c r="D73" i="1"/>
  <c r="K73" i="1" s="1"/>
  <c r="J73" i="1" s="1"/>
  <c r="L72" i="1"/>
  <c r="L71" i="1"/>
  <c r="L70" i="1"/>
  <c r="L69" i="1"/>
  <c r="N68" i="1"/>
  <c r="D68" i="1"/>
  <c r="K68" i="1" s="1"/>
  <c r="J68" i="1" s="1"/>
  <c r="L67" i="1"/>
  <c r="L66" i="1"/>
  <c r="N65" i="1"/>
  <c r="D65" i="1"/>
  <c r="E65" i="1" s="1"/>
  <c r="Y65" i="1" s="1"/>
  <c r="L64" i="1"/>
  <c r="L63" i="1"/>
  <c r="L62" i="1"/>
  <c r="L61" i="1"/>
  <c r="W60" i="1"/>
  <c r="W64" i="1" s="1"/>
  <c r="N60" i="1"/>
  <c r="D60" i="1"/>
  <c r="K60" i="1" s="1"/>
  <c r="J60" i="1" s="1"/>
  <c r="L58" i="1"/>
  <c r="L57" i="1"/>
  <c r="L56" i="1"/>
  <c r="N55" i="1"/>
  <c r="D55" i="1"/>
  <c r="K55" i="1" s="1"/>
  <c r="J55" i="1" s="1"/>
  <c r="L54" i="1"/>
  <c r="L53" i="1"/>
  <c r="L52" i="1"/>
  <c r="L51" i="1"/>
  <c r="N50" i="1"/>
  <c r="D50" i="1"/>
  <c r="E50" i="1" s="1"/>
  <c r="Y50" i="1" s="1"/>
  <c r="L49" i="1"/>
  <c r="L48" i="1"/>
  <c r="N47" i="1"/>
  <c r="D47" i="1"/>
  <c r="K47" i="1" s="1"/>
  <c r="J47" i="1" s="1"/>
  <c r="L46" i="1"/>
  <c r="L45" i="1"/>
  <c r="L44" i="1"/>
  <c r="N43" i="1"/>
  <c r="D43" i="1"/>
  <c r="E43" i="1" s="1"/>
  <c r="Y43" i="1" s="1"/>
  <c r="L42" i="1"/>
  <c r="L41" i="1"/>
  <c r="L40" i="1"/>
  <c r="N39" i="1"/>
  <c r="D39" i="1"/>
  <c r="K39" i="1" s="1"/>
  <c r="J39" i="1" s="1"/>
  <c r="L38" i="1"/>
  <c r="L37" i="1"/>
  <c r="L36" i="1"/>
  <c r="N35" i="1"/>
  <c r="D35" i="1"/>
  <c r="K35" i="1" s="1"/>
  <c r="J35" i="1" s="1"/>
  <c r="L34" i="1"/>
  <c r="L33" i="1"/>
  <c r="L32" i="1"/>
  <c r="N31" i="1"/>
  <c r="D31" i="1"/>
  <c r="E31" i="1" s="1"/>
  <c r="Y31" i="1" s="1"/>
  <c r="L30" i="1"/>
  <c r="L29" i="1"/>
  <c r="L28" i="1"/>
  <c r="L27" i="1"/>
  <c r="N26" i="1"/>
  <c r="D26" i="1"/>
  <c r="K26" i="1" s="1"/>
  <c r="J26" i="1" s="1"/>
  <c r="L25" i="1"/>
  <c r="L24" i="1"/>
  <c r="L23" i="1"/>
  <c r="L22" i="1"/>
  <c r="L21" i="1"/>
  <c r="W20" i="1"/>
  <c r="W23" i="1" s="1"/>
  <c r="F23" i="1" s="1"/>
  <c r="N20" i="1"/>
  <c r="D20" i="1"/>
  <c r="I10" i="1" s="1"/>
  <c r="Y18" i="1"/>
  <c r="W18" i="1"/>
  <c r="M18" i="1"/>
  <c r="L18" i="1"/>
  <c r="Y17" i="1"/>
  <c r="W17" i="1"/>
  <c r="X17" i="1" s="1"/>
  <c r="L17" i="1"/>
  <c r="Y16" i="1"/>
  <c r="W16" i="1"/>
  <c r="F16" i="1" s="1"/>
  <c r="L16" i="1"/>
  <c r="Y15" i="1"/>
  <c r="W15" i="1"/>
  <c r="F15" i="1" s="1"/>
  <c r="L15" i="1"/>
  <c r="U12" i="1"/>
  <c r="T12" i="1"/>
  <c r="S12" i="1"/>
  <c r="R12" i="1"/>
  <c r="Q12" i="1"/>
  <c r="P12" i="1"/>
  <c r="C7" i="1"/>
  <c r="E96" i="1" l="1"/>
  <c r="Y96" i="1" s="1"/>
  <c r="G96" i="1"/>
  <c r="F60" i="1"/>
  <c r="W22" i="1"/>
  <c r="K50" i="1"/>
  <c r="J50" i="1" s="1"/>
  <c r="W63" i="1"/>
  <c r="F63" i="1" s="1"/>
  <c r="L102" i="1"/>
  <c r="L97" i="1"/>
  <c r="W24" i="1"/>
  <c r="F17" i="1"/>
  <c r="L65" i="1"/>
  <c r="L89" i="1"/>
  <c r="K65" i="1"/>
  <c r="J65" i="1" s="1"/>
  <c r="F20" i="1"/>
  <c r="W61" i="1"/>
  <c r="F61" i="1" s="1"/>
  <c r="W62" i="1"/>
  <c r="X62" i="1" s="1"/>
  <c r="E62" i="1" s="1"/>
  <c r="Y62" i="1" s="1"/>
  <c r="L50" i="1"/>
  <c r="L81" i="1"/>
  <c r="U17" i="1"/>
  <c r="M17" i="1"/>
  <c r="G17" i="1"/>
  <c r="P17" i="1"/>
  <c r="E77" i="1"/>
  <c r="Y77" i="1" s="1"/>
  <c r="E115" i="1"/>
  <c r="Y115" i="1" s="1"/>
  <c r="E87" i="1"/>
  <c r="Y87" i="1" s="1"/>
  <c r="K87" i="1"/>
  <c r="J87" i="1" s="1"/>
  <c r="E20" i="1"/>
  <c r="Y20" i="1" s="1"/>
  <c r="X20" i="1" s="1"/>
  <c r="L31" i="1"/>
  <c r="L77" i="1"/>
  <c r="E60" i="1"/>
  <c r="Y60" i="1" s="1"/>
  <c r="X60" i="1" s="1"/>
  <c r="E108" i="1"/>
  <c r="Y108" i="1" s="1"/>
  <c r="L115" i="1"/>
  <c r="K20" i="1"/>
  <c r="J20" i="1" s="1"/>
  <c r="X24" i="1"/>
  <c r="K108" i="1"/>
  <c r="J108" i="1" s="1"/>
  <c r="E35" i="1"/>
  <c r="Y35" i="1" s="1"/>
  <c r="L47" i="1"/>
  <c r="E81" i="1"/>
  <c r="Y81" i="1" s="1"/>
  <c r="E89" i="1"/>
  <c r="Y89" i="1" s="1"/>
  <c r="K97" i="1"/>
  <c r="J97" i="1" s="1"/>
  <c r="W25" i="1"/>
  <c r="F25" i="1" s="1"/>
  <c r="K120" i="1"/>
  <c r="J120" i="1" s="1"/>
  <c r="I6" i="1"/>
  <c r="L26" i="1"/>
  <c r="E93" i="1"/>
  <c r="Y93" i="1" s="1"/>
  <c r="X93" i="1" s="1"/>
  <c r="R93" i="1" s="1"/>
  <c r="E100" i="1"/>
  <c r="Y100" i="1" s="1"/>
  <c r="K111" i="1"/>
  <c r="J111" i="1" s="1"/>
  <c r="K83" i="1"/>
  <c r="J83" i="1" s="1"/>
  <c r="K93" i="1"/>
  <c r="J93" i="1" s="1"/>
  <c r="M93" i="1" s="1"/>
  <c r="W21" i="1"/>
  <c r="K43" i="1"/>
  <c r="J43" i="1" s="1"/>
  <c r="E26" i="1"/>
  <c r="Y26" i="1" s="1"/>
  <c r="L20" i="1"/>
  <c r="E73" i="1"/>
  <c r="Y73" i="1" s="1"/>
  <c r="L39" i="1"/>
  <c r="L73" i="1"/>
  <c r="L100" i="1"/>
  <c r="L111" i="1"/>
  <c r="L83" i="1"/>
  <c r="G62" i="1"/>
  <c r="T17" i="1"/>
  <c r="L35" i="1"/>
  <c r="X15" i="1"/>
  <c r="M15" i="1" s="1"/>
  <c r="F18" i="1"/>
  <c r="I8" i="1"/>
  <c r="K31" i="1"/>
  <c r="J31" i="1" s="1"/>
  <c r="I7" i="1"/>
  <c r="X18" i="1"/>
  <c r="Q18" i="1" s="1"/>
  <c r="F24" i="1"/>
  <c r="F64" i="1"/>
  <c r="L55" i="1"/>
  <c r="M22" i="1"/>
  <c r="M62" i="1"/>
  <c r="T22" i="1"/>
  <c r="X64" i="1"/>
  <c r="S64" i="1" s="1"/>
  <c r="L68" i="1"/>
  <c r="E39" i="1"/>
  <c r="Y39" i="1" s="1"/>
  <c r="L60" i="1"/>
  <c r="F22" i="1"/>
  <c r="X22" i="1"/>
  <c r="Q22" i="1" s="1"/>
  <c r="Q17" i="1"/>
  <c r="S17" i="1"/>
  <c r="P62" i="1"/>
  <c r="F62" i="1"/>
  <c r="G93" i="1"/>
  <c r="P93" i="1"/>
  <c r="T93" i="1"/>
  <c r="F96" i="1"/>
  <c r="P96" i="1"/>
  <c r="Q96" i="1"/>
  <c r="E68" i="1"/>
  <c r="Y68" i="1" s="1"/>
  <c r="R96" i="1"/>
  <c r="E123" i="1"/>
  <c r="Y123" i="1" s="1"/>
  <c r="T96" i="1"/>
  <c r="R17" i="1"/>
  <c r="E47" i="1"/>
  <c r="Y47" i="1" s="1"/>
  <c r="U96" i="1"/>
  <c r="K123" i="1"/>
  <c r="J123" i="1" s="1"/>
  <c r="E55" i="1"/>
  <c r="Y55" i="1" s="1"/>
  <c r="S96" i="1"/>
  <c r="W95" i="1"/>
  <c r="F93" i="1"/>
  <c r="X94" i="1"/>
  <c r="P94" i="1" s="1"/>
  <c r="E102" i="1"/>
  <c r="Y102" i="1" s="1"/>
  <c r="X23" i="1"/>
  <c r="Q23" i="1" s="1"/>
  <c r="L43" i="1"/>
  <c r="X16" i="1"/>
  <c r="M16" i="1" s="1"/>
  <c r="X25" i="1"/>
  <c r="F94" i="1"/>
  <c r="X61" i="1" l="1"/>
  <c r="U61" i="1" s="1"/>
  <c r="U62" i="1"/>
  <c r="Q62" i="1"/>
  <c r="R62" i="1"/>
  <c r="S62" i="1"/>
  <c r="T62" i="1"/>
  <c r="P18" i="1"/>
  <c r="R18" i="1"/>
  <c r="R22" i="1"/>
  <c r="S18" i="1"/>
  <c r="S22" i="1"/>
  <c r="U18" i="1"/>
  <c r="X63" i="1"/>
  <c r="M63" i="1" s="1"/>
  <c r="S93" i="1"/>
  <c r="L10" i="1"/>
  <c r="R24" i="1"/>
  <c r="P24" i="1"/>
  <c r="T24" i="1"/>
  <c r="G24" i="1"/>
  <c r="Q24" i="1"/>
  <c r="S24" i="1"/>
  <c r="F21" i="1"/>
  <c r="U24" i="1"/>
  <c r="E24" i="1"/>
  <c r="Y24" i="1" s="1"/>
  <c r="M20" i="1"/>
  <c r="L7" i="1"/>
  <c r="Q93" i="1"/>
  <c r="P22" i="1"/>
  <c r="M24" i="1"/>
  <c r="L6" i="1"/>
  <c r="W97" i="1"/>
  <c r="X97" i="1" s="1"/>
  <c r="U93" i="1"/>
  <c r="X21" i="1"/>
  <c r="R21" i="1" s="1"/>
  <c r="R60" i="1"/>
  <c r="Q60" i="1"/>
  <c r="G60" i="1"/>
  <c r="W65" i="1"/>
  <c r="S61" i="1"/>
  <c r="U64" i="1"/>
  <c r="P64" i="1"/>
  <c r="R64" i="1"/>
  <c r="M60" i="1"/>
  <c r="G94" i="1"/>
  <c r="E94" i="1"/>
  <c r="Y94" i="1" s="1"/>
  <c r="U94" i="1"/>
  <c r="T94" i="1"/>
  <c r="S94" i="1"/>
  <c r="R94" i="1"/>
  <c r="Q94" i="1"/>
  <c r="Q64" i="1"/>
  <c r="X95" i="1"/>
  <c r="T95" i="1" s="1"/>
  <c r="F95" i="1"/>
  <c r="P63" i="1"/>
  <c r="T64" i="1"/>
  <c r="E61" i="1"/>
  <c r="Y61" i="1" s="1"/>
  <c r="T61" i="1"/>
  <c r="G61" i="1"/>
  <c r="R61" i="1"/>
  <c r="S60" i="1"/>
  <c r="G23" i="1"/>
  <c r="T23" i="1"/>
  <c r="S23" i="1"/>
  <c r="P23" i="1"/>
  <c r="E23" i="1"/>
  <c r="Y23" i="1" s="1"/>
  <c r="R23" i="1"/>
  <c r="G25" i="1"/>
  <c r="U25" i="1"/>
  <c r="T25" i="1"/>
  <c r="S25" i="1"/>
  <c r="R25" i="1"/>
  <c r="P25" i="1"/>
  <c r="E25" i="1"/>
  <c r="Y25" i="1" s="1"/>
  <c r="S63" i="1"/>
  <c r="P61" i="1"/>
  <c r="M23" i="1"/>
  <c r="M61" i="1"/>
  <c r="U23" i="1"/>
  <c r="U20" i="1"/>
  <c r="T20" i="1"/>
  <c r="S20" i="1"/>
  <c r="W26" i="1"/>
  <c r="R20" i="1"/>
  <c r="Q20" i="1"/>
  <c r="P20" i="1"/>
  <c r="G20" i="1"/>
  <c r="W98" i="1"/>
  <c r="W99" i="1"/>
  <c r="F97" i="1"/>
  <c r="X98" i="1"/>
  <c r="Q25" i="1"/>
  <c r="M25" i="1"/>
  <c r="G64" i="1"/>
  <c r="E64" i="1"/>
  <c r="Y64" i="1" s="1"/>
  <c r="P60" i="1"/>
  <c r="U16" i="1"/>
  <c r="Q16" i="1"/>
  <c r="T16" i="1"/>
  <c r="R16" i="1"/>
  <c r="P16" i="1"/>
  <c r="G16" i="1"/>
  <c r="S16" i="1"/>
  <c r="G22" i="1"/>
  <c r="E22" i="1"/>
  <c r="Y22" i="1" s="1"/>
  <c r="T60" i="1"/>
  <c r="M64" i="1"/>
  <c r="G15" i="1"/>
  <c r="T15" i="1"/>
  <c r="S15" i="1"/>
  <c r="U15" i="1"/>
  <c r="R15" i="1"/>
  <c r="Q15" i="1"/>
  <c r="P15" i="1"/>
  <c r="L9" i="1"/>
  <c r="U60" i="1"/>
  <c r="L8" i="1"/>
  <c r="G18" i="1"/>
  <c r="T18" i="1"/>
  <c r="U22" i="1"/>
  <c r="R63" i="1" l="1"/>
  <c r="U21" i="1"/>
  <c r="Q63" i="1"/>
  <c r="G63" i="1"/>
  <c r="U63" i="1"/>
  <c r="T63" i="1"/>
  <c r="Q61" i="1"/>
  <c r="P21" i="1"/>
  <c r="E63" i="1"/>
  <c r="Y63" i="1" s="1"/>
  <c r="P97" i="1"/>
  <c r="U97" i="1"/>
  <c r="Q97" i="1"/>
  <c r="R97" i="1"/>
  <c r="W100" i="1"/>
  <c r="T97" i="1"/>
  <c r="S97" i="1"/>
  <c r="Q21" i="1"/>
  <c r="S21" i="1"/>
  <c r="E21" i="1"/>
  <c r="Y21" i="1" s="1"/>
  <c r="M21" i="1"/>
  <c r="G21" i="1"/>
  <c r="T21" i="1"/>
  <c r="P95" i="1"/>
  <c r="P98" i="1"/>
  <c r="U98" i="1"/>
  <c r="T98" i="1"/>
  <c r="S98" i="1"/>
  <c r="R98" i="1"/>
  <c r="Q98" i="1"/>
  <c r="F98" i="1"/>
  <c r="Q95" i="1"/>
  <c r="W66" i="1"/>
  <c r="X66" i="1" s="1"/>
  <c r="F65" i="1"/>
  <c r="X65" i="1"/>
  <c r="S65" i="1" s="1"/>
  <c r="W67" i="1"/>
  <c r="X67" i="1" s="1"/>
  <c r="R95" i="1"/>
  <c r="S95" i="1"/>
  <c r="X30" i="1"/>
  <c r="W28" i="1"/>
  <c r="X28" i="1" s="1"/>
  <c r="X26" i="1"/>
  <c r="P26" i="1" s="1"/>
  <c r="W29" i="1"/>
  <c r="X29" i="1" s="1"/>
  <c r="F26" i="1"/>
  <c r="W27" i="1"/>
  <c r="X27" i="1" s="1"/>
  <c r="W30" i="1"/>
  <c r="F99" i="1"/>
  <c r="P99" i="1"/>
  <c r="Q99" i="1"/>
  <c r="G95" i="1"/>
  <c r="E95" i="1"/>
  <c r="Y95" i="1" s="1"/>
  <c r="U95" i="1"/>
  <c r="G97" i="1"/>
  <c r="M97" i="1"/>
  <c r="X99" i="1"/>
  <c r="G98" i="1"/>
  <c r="E98" i="1"/>
  <c r="Y98" i="1" s="1"/>
  <c r="S100" i="1" l="1"/>
  <c r="T100" i="1"/>
  <c r="X100" i="1"/>
  <c r="P100" i="1" s="1"/>
  <c r="F100" i="1"/>
  <c r="W101" i="1"/>
  <c r="X101" i="1" s="1"/>
  <c r="Q100" i="1"/>
  <c r="R100" i="1"/>
  <c r="U100" i="1"/>
  <c r="Q26" i="1"/>
  <c r="R26" i="1"/>
  <c r="T26" i="1"/>
  <c r="U26" i="1"/>
  <c r="S26" i="1"/>
  <c r="P65" i="1"/>
  <c r="Q65" i="1"/>
  <c r="E67" i="1"/>
  <c r="Y67" i="1" s="1"/>
  <c r="G67" i="1"/>
  <c r="M67" i="1"/>
  <c r="G29" i="1"/>
  <c r="E29" i="1"/>
  <c r="Y29" i="1" s="1"/>
  <c r="M29" i="1"/>
  <c r="U27" i="1"/>
  <c r="F27" i="1"/>
  <c r="T27" i="1"/>
  <c r="S27" i="1"/>
  <c r="R27" i="1"/>
  <c r="Q27" i="1"/>
  <c r="P27" i="1"/>
  <c r="Q66" i="1"/>
  <c r="T66" i="1"/>
  <c r="U66" i="1"/>
  <c r="S66" i="1"/>
  <c r="R66" i="1"/>
  <c r="P66" i="1"/>
  <c r="F66" i="1"/>
  <c r="R65" i="1"/>
  <c r="T65" i="1"/>
  <c r="Q29" i="1"/>
  <c r="U29" i="1"/>
  <c r="T29" i="1"/>
  <c r="S29" i="1"/>
  <c r="F29" i="1"/>
  <c r="R29" i="1"/>
  <c r="P29" i="1"/>
  <c r="U65" i="1"/>
  <c r="G26" i="1"/>
  <c r="M26" i="1"/>
  <c r="W31" i="1"/>
  <c r="G100" i="1"/>
  <c r="W128" i="1"/>
  <c r="M100" i="1"/>
  <c r="W102" i="1"/>
  <c r="S28" i="1"/>
  <c r="U28" i="1"/>
  <c r="T28" i="1"/>
  <c r="R28" i="1"/>
  <c r="Q28" i="1"/>
  <c r="P28" i="1"/>
  <c r="F28" i="1"/>
  <c r="G27" i="1"/>
  <c r="E27" i="1"/>
  <c r="Y27" i="1" s="1"/>
  <c r="M27" i="1"/>
  <c r="G66" i="1"/>
  <c r="E66" i="1"/>
  <c r="Y66" i="1" s="1"/>
  <c r="M66" i="1"/>
  <c r="G99" i="1"/>
  <c r="E99" i="1"/>
  <c r="Y99" i="1" s="1"/>
  <c r="M99" i="1"/>
  <c r="R99" i="1"/>
  <c r="S99" i="1"/>
  <c r="T99" i="1"/>
  <c r="E28" i="1"/>
  <c r="Y28" i="1" s="1"/>
  <c r="G28" i="1"/>
  <c r="M28" i="1"/>
  <c r="E30" i="1"/>
  <c r="Y30" i="1" s="1"/>
  <c r="G30" i="1"/>
  <c r="M30" i="1"/>
  <c r="S67" i="1"/>
  <c r="P67" i="1"/>
  <c r="F67" i="1"/>
  <c r="U67" i="1"/>
  <c r="Q67" i="1"/>
  <c r="R67" i="1"/>
  <c r="T67" i="1"/>
  <c r="U99" i="1"/>
  <c r="G65" i="1"/>
  <c r="W127" i="1"/>
  <c r="M65" i="1"/>
  <c r="W68" i="1"/>
  <c r="S30" i="1"/>
  <c r="R30" i="1"/>
  <c r="Q30" i="1"/>
  <c r="P30" i="1"/>
  <c r="F30" i="1"/>
  <c r="T30" i="1"/>
  <c r="U30" i="1"/>
  <c r="P101" i="1" l="1"/>
  <c r="E101" i="1"/>
  <c r="Y101" i="1" s="1"/>
  <c r="Q101" i="1"/>
  <c r="M101" i="1"/>
  <c r="U101" i="1"/>
  <c r="G101" i="1"/>
  <c r="R101" i="1"/>
  <c r="F101" i="1"/>
  <c r="S101" i="1"/>
  <c r="T101" i="1"/>
  <c r="W106" i="1"/>
  <c r="W107" i="1"/>
  <c r="X107" i="1" s="1"/>
  <c r="X102" i="1"/>
  <c r="P102" i="1" s="1"/>
  <c r="X106" i="1"/>
  <c r="S102" i="1"/>
  <c r="W105" i="1"/>
  <c r="X105" i="1" s="1"/>
  <c r="W103" i="1"/>
  <c r="F102" i="1"/>
  <c r="W104" i="1"/>
  <c r="X104" i="1" s="1"/>
  <c r="X127" i="1"/>
  <c r="S127" i="1" s="1"/>
  <c r="U127" i="1"/>
  <c r="Q127" i="1"/>
  <c r="P127" i="1"/>
  <c r="F127" i="1"/>
  <c r="X128" i="1"/>
  <c r="F128" i="1"/>
  <c r="W71" i="1"/>
  <c r="W69" i="1"/>
  <c r="F68" i="1"/>
  <c r="W72" i="1"/>
  <c r="X72" i="1" s="1"/>
  <c r="W70" i="1"/>
  <c r="X70" i="1" s="1"/>
  <c r="X68" i="1"/>
  <c r="P68" i="1" s="1"/>
  <c r="X31" i="1"/>
  <c r="S31" i="1" s="1"/>
  <c r="T31" i="1"/>
  <c r="W34" i="1"/>
  <c r="W32" i="1"/>
  <c r="X32" i="1" s="1"/>
  <c r="F31" i="1"/>
  <c r="W33" i="1"/>
  <c r="Q68" i="1" l="1"/>
  <c r="R68" i="1"/>
  <c r="S68" i="1"/>
  <c r="T68" i="1"/>
  <c r="U68" i="1"/>
  <c r="P31" i="1"/>
  <c r="Q31" i="1"/>
  <c r="T127" i="1"/>
  <c r="R31" i="1"/>
  <c r="R127" i="1"/>
  <c r="E32" i="1"/>
  <c r="Y32" i="1" s="1"/>
  <c r="G32" i="1"/>
  <c r="M32" i="1"/>
  <c r="G72" i="1"/>
  <c r="E72" i="1"/>
  <c r="Y72" i="1" s="1"/>
  <c r="M72" i="1"/>
  <c r="S71" i="1"/>
  <c r="U71" i="1"/>
  <c r="F71" i="1"/>
  <c r="F33" i="1"/>
  <c r="F69" i="1"/>
  <c r="F34" i="1"/>
  <c r="X71" i="1"/>
  <c r="G128" i="1"/>
  <c r="M128" i="1"/>
  <c r="Q72" i="1"/>
  <c r="F72" i="1"/>
  <c r="U72" i="1"/>
  <c r="T72" i="1"/>
  <c r="S72" i="1"/>
  <c r="R72" i="1"/>
  <c r="P72" i="1"/>
  <c r="P105" i="1"/>
  <c r="U105" i="1"/>
  <c r="Q105" i="1"/>
  <c r="T105" i="1"/>
  <c r="S105" i="1"/>
  <c r="R105" i="1"/>
  <c r="F105" i="1"/>
  <c r="Q102" i="1"/>
  <c r="G31" i="1"/>
  <c r="M31" i="1"/>
  <c r="Q128" i="1"/>
  <c r="F103" i="1"/>
  <c r="U31" i="1"/>
  <c r="R128" i="1"/>
  <c r="X34" i="1"/>
  <c r="P34" i="1" s="1"/>
  <c r="S128" i="1"/>
  <c r="X103" i="1"/>
  <c r="S103" i="1" s="1"/>
  <c r="X69" i="1"/>
  <c r="S69" i="1" s="1"/>
  <c r="X33" i="1"/>
  <c r="Q33" i="1" s="1"/>
  <c r="T102" i="1"/>
  <c r="U102" i="1"/>
  <c r="P104" i="1"/>
  <c r="F104" i="1"/>
  <c r="U104" i="1"/>
  <c r="T104" i="1"/>
  <c r="S104" i="1"/>
  <c r="Q104" i="1"/>
  <c r="R104" i="1"/>
  <c r="G68" i="1"/>
  <c r="W35" i="1"/>
  <c r="M68" i="1"/>
  <c r="W73" i="1"/>
  <c r="T128" i="1"/>
  <c r="G105" i="1"/>
  <c r="E105" i="1"/>
  <c r="Y105" i="1" s="1"/>
  <c r="M105" i="1"/>
  <c r="Q70" i="1"/>
  <c r="R70" i="1"/>
  <c r="P70" i="1"/>
  <c r="F70" i="1"/>
  <c r="U70" i="1"/>
  <c r="T70" i="1"/>
  <c r="S70" i="1"/>
  <c r="P128" i="1"/>
  <c r="G127" i="1"/>
  <c r="M127" i="1"/>
  <c r="G107" i="1"/>
  <c r="E107" i="1"/>
  <c r="Y107" i="1" s="1"/>
  <c r="M107" i="1"/>
  <c r="G106" i="1"/>
  <c r="E106" i="1"/>
  <c r="Y106" i="1" s="1"/>
  <c r="M106" i="1"/>
  <c r="G70" i="1"/>
  <c r="E70" i="1"/>
  <c r="Y70" i="1" s="1"/>
  <c r="M70" i="1"/>
  <c r="U128" i="1"/>
  <c r="G102" i="1"/>
  <c r="W108" i="1"/>
  <c r="M102" i="1"/>
  <c r="E104" i="1"/>
  <c r="Y104" i="1" s="1"/>
  <c r="G104" i="1"/>
  <c r="M104" i="1"/>
  <c r="U107" i="1"/>
  <c r="T107" i="1"/>
  <c r="S107" i="1"/>
  <c r="R107" i="1"/>
  <c r="Q107" i="1"/>
  <c r="P107" i="1"/>
  <c r="F107" i="1"/>
  <c r="R102" i="1"/>
  <c r="S32" i="1"/>
  <c r="U32" i="1"/>
  <c r="T32" i="1"/>
  <c r="P32" i="1"/>
  <c r="F32" i="1"/>
  <c r="Q32" i="1"/>
  <c r="R32" i="1"/>
  <c r="P106" i="1"/>
  <c r="F106" i="1"/>
  <c r="U106" i="1"/>
  <c r="T106" i="1"/>
  <c r="S106" i="1"/>
  <c r="R106" i="1"/>
  <c r="Q106" i="1"/>
  <c r="U103" i="1" l="1"/>
  <c r="T103" i="1"/>
  <c r="P103" i="1"/>
  <c r="R103" i="1"/>
  <c r="S34" i="1"/>
  <c r="Q103" i="1"/>
  <c r="P69" i="1"/>
  <c r="Q69" i="1"/>
  <c r="T69" i="1"/>
  <c r="U33" i="1"/>
  <c r="P33" i="1"/>
  <c r="S33" i="1"/>
  <c r="R33" i="1"/>
  <c r="E71" i="1"/>
  <c r="Y71" i="1" s="1"/>
  <c r="G71" i="1"/>
  <c r="M71" i="1"/>
  <c r="T33" i="1"/>
  <c r="E34" i="1"/>
  <c r="Y34" i="1" s="1"/>
  <c r="G34" i="1"/>
  <c r="M34" i="1"/>
  <c r="Q34" i="1"/>
  <c r="Q71" i="1"/>
  <c r="W110" i="1"/>
  <c r="X108" i="1"/>
  <c r="U108" i="1" s="1"/>
  <c r="X110" i="1"/>
  <c r="W109" i="1"/>
  <c r="X109" i="1" s="1"/>
  <c r="F108" i="1"/>
  <c r="G33" i="1"/>
  <c r="E33" i="1"/>
  <c r="Y33" i="1" s="1"/>
  <c r="M33" i="1"/>
  <c r="T34" i="1"/>
  <c r="E69" i="1"/>
  <c r="Y69" i="1" s="1"/>
  <c r="G69" i="1"/>
  <c r="M69" i="1"/>
  <c r="R34" i="1"/>
  <c r="T71" i="1"/>
  <c r="R71" i="1"/>
  <c r="G103" i="1"/>
  <c r="E103" i="1"/>
  <c r="Y103" i="1" s="1"/>
  <c r="M103" i="1"/>
  <c r="U34" i="1"/>
  <c r="P71" i="1"/>
  <c r="W76" i="1"/>
  <c r="X76" i="1" s="1"/>
  <c r="W74" i="1"/>
  <c r="F73" i="1"/>
  <c r="W75" i="1"/>
  <c r="X75" i="1" s="1"/>
  <c r="X73" i="1"/>
  <c r="R73" i="1" s="1"/>
  <c r="R69" i="1"/>
  <c r="F35" i="1"/>
  <c r="W37" i="1"/>
  <c r="X37" i="1" s="1"/>
  <c r="X35" i="1"/>
  <c r="W36" i="1"/>
  <c r="X36" i="1" s="1"/>
  <c r="W38" i="1"/>
  <c r="X38" i="1" s="1"/>
  <c r="U69" i="1"/>
  <c r="P108" i="1" l="1"/>
  <c r="Q108" i="1"/>
  <c r="R108" i="1"/>
  <c r="S108" i="1"/>
  <c r="T108" i="1"/>
  <c r="Q73" i="1"/>
  <c r="S73" i="1"/>
  <c r="P73" i="1"/>
  <c r="U73" i="1"/>
  <c r="G109" i="1"/>
  <c r="E109" i="1"/>
  <c r="Y109" i="1" s="1"/>
  <c r="M109" i="1"/>
  <c r="G37" i="1"/>
  <c r="E37" i="1"/>
  <c r="Y37" i="1" s="1"/>
  <c r="M37" i="1"/>
  <c r="G73" i="1"/>
  <c r="M73" i="1"/>
  <c r="W111" i="1"/>
  <c r="W77" i="1"/>
  <c r="S75" i="1"/>
  <c r="F75" i="1"/>
  <c r="U75" i="1"/>
  <c r="T75" i="1"/>
  <c r="R75" i="1"/>
  <c r="Q75" i="1"/>
  <c r="P75" i="1"/>
  <c r="S38" i="1"/>
  <c r="P38" i="1"/>
  <c r="F38" i="1"/>
  <c r="U38" i="1"/>
  <c r="T38" i="1"/>
  <c r="R38" i="1"/>
  <c r="Q38" i="1"/>
  <c r="F74" i="1"/>
  <c r="X74" i="1"/>
  <c r="U74" i="1" s="1"/>
  <c r="G35" i="1"/>
  <c r="M35" i="1"/>
  <c r="W39" i="1"/>
  <c r="U35" i="1"/>
  <c r="E38" i="1"/>
  <c r="Y38" i="1" s="1"/>
  <c r="G38" i="1"/>
  <c r="M38" i="1"/>
  <c r="R35" i="1"/>
  <c r="S35" i="1"/>
  <c r="T35" i="1"/>
  <c r="S36" i="1"/>
  <c r="U36" i="1"/>
  <c r="T36" i="1"/>
  <c r="R36" i="1"/>
  <c r="Q36" i="1"/>
  <c r="P36" i="1"/>
  <c r="F36" i="1"/>
  <c r="Q76" i="1"/>
  <c r="U76" i="1"/>
  <c r="T76" i="1"/>
  <c r="S76" i="1"/>
  <c r="R76" i="1"/>
  <c r="P76" i="1"/>
  <c r="F76" i="1"/>
  <c r="G110" i="1"/>
  <c r="E110" i="1"/>
  <c r="Y110" i="1" s="1"/>
  <c r="M110" i="1"/>
  <c r="Q35" i="1"/>
  <c r="E36" i="1"/>
  <c r="Y36" i="1" s="1"/>
  <c r="G36" i="1"/>
  <c r="M36" i="1"/>
  <c r="G76" i="1"/>
  <c r="E76" i="1"/>
  <c r="Y76" i="1" s="1"/>
  <c r="M76" i="1"/>
  <c r="P109" i="1"/>
  <c r="U109" i="1"/>
  <c r="Q109" i="1"/>
  <c r="T109" i="1"/>
  <c r="S109" i="1"/>
  <c r="R109" i="1"/>
  <c r="F109" i="1"/>
  <c r="P35" i="1"/>
  <c r="E75" i="1"/>
  <c r="Y75" i="1" s="1"/>
  <c r="G75" i="1"/>
  <c r="M75" i="1"/>
  <c r="Q37" i="1"/>
  <c r="T37" i="1"/>
  <c r="U37" i="1"/>
  <c r="S37" i="1"/>
  <c r="R37" i="1"/>
  <c r="P37" i="1"/>
  <c r="F37" i="1"/>
  <c r="G108" i="1"/>
  <c r="M108" i="1"/>
  <c r="T73" i="1"/>
  <c r="P110" i="1"/>
  <c r="U110" i="1"/>
  <c r="T110" i="1"/>
  <c r="S110" i="1"/>
  <c r="R110" i="1"/>
  <c r="Q110" i="1"/>
  <c r="F110" i="1"/>
  <c r="Q74" i="1" l="1"/>
  <c r="R74" i="1"/>
  <c r="P74" i="1"/>
  <c r="W42" i="1"/>
  <c r="W40" i="1"/>
  <c r="X40" i="1" s="1"/>
  <c r="F39" i="1"/>
  <c r="W41" i="1"/>
  <c r="X41" i="1" s="1"/>
  <c r="X39" i="1"/>
  <c r="R39" i="1" s="1"/>
  <c r="G74" i="1"/>
  <c r="E74" i="1"/>
  <c r="Y74" i="1" s="1"/>
  <c r="M74" i="1"/>
  <c r="W114" i="1"/>
  <c r="F111" i="1"/>
  <c r="X114" i="1"/>
  <c r="W112" i="1"/>
  <c r="X112" i="1" s="1"/>
  <c r="X111" i="1"/>
  <c r="T111" i="1" s="1"/>
  <c r="W113" i="1"/>
  <c r="X113" i="1" s="1"/>
  <c r="U111" i="1"/>
  <c r="W79" i="1"/>
  <c r="X79" i="1" s="1"/>
  <c r="X77" i="1"/>
  <c r="S77" i="1" s="1"/>
  <c r="W80" i="1"/>
  <c r="Q77" i="1"/>
  <c r="W78" i="1"/>
  <c r="X78" i="1" s="1"/>
  <c r="F77" i="1"/>
  <c r="S74" i="1"/>
  <c r="T74" i="1"/>
  <c r="Q111" i="1" l="1"/>
  <c r="R111" i="1"/>
  <c r="P111" i="1"/>
  <c r="S111" i="1"/>
  <c r="P39" i="1"/>
  <c r="Q39" i="1"/>
  <c r="G78" i="1"/>
  <c r="E78" i="1"/>
  <c r="Y78" i="1" s="1"/>
  <c r="M78" i="1"/>
  <c r="E112" i="1"/>
  <c r="Y112" i="1" s="1"/>
  <c r="G112" i="1"/>
  <c r="M112" i="1"/>
  <c r="G41" i="1"/>
  <c r="E41" i="1"/>
  <c r="Y41" i="1" s="1"/>
  <c r="M41" i="1"/>
  <c r="E79" i="1"/>
  <c r="Y79" i="1" s="1"/>
  <c r="G79" i="1"/>
  <c r="M79" i="1"/>
  <c r="G77" i="1"/>
  <c r="M77" i="1"/>
  <c r="W81" i="1"/>
  <c r="G39" i="1"/>
  <c r="M39" i="1"/>
  <c r="W43" i="1"/>
  <c r="Q41" i="1"/>
  <c r="R41" i="1"/>
  <c r="P41" i="1"/>
  <c r="F41" i="1"/>
  <c r="S41" i="1"/>
  <c r="U41" i="1"/>
  <c r="T41" i="1"/>
  <c r="P113" i="1"/>
  <c r="U113" i="1"/>
  <c r="Q113" i="1"/>
  <c r="F113" i="1"/>
  <c r="T113" i="1"/>
  <c r="S113" i="1"/>
  <c r="R113" i="1"/>
  <c r="W130" i="1"/>
  <c r="G111" i="1"/>
  <c r="W115" i="1"/>
  <c r="M111" i="1"/>
  <c r="S40" i="1"/>
  <c r="U40" i="1"/>
  <c r="T40" i="1"/>
  <c r="R40" i="1"/>
  <c r="P40" i="1"/>
  <c r="F40" i="1"/>
  <c r="Q40" i="1"/>
  <c r="G114" i="1"/>
  <c r="E114" i="1"/>
  <c r="Y114" i="1" s="1"/>
  <c r="M114" i="1"/>
  <c r="S79" i="1"/>
  <c r="U79" i="1"/>
  <c r="T79" i="1"/>
  <c r="R79" i="1"/>
  <c r="Q79" i="1"/>
  <c r="P79" i="1"/>
  <c r="F79" i="1"/>
  <c r="S39" i="1"/>
  <c r="U112" i="1"/>
  <c r="T112" i="1"/>
  <c r="S112" i="1"/>
  <c r="R112" i="1"/>
  <c r="Q112" i="1"/>
  <c r="P112" i="1"/>
  <c r="F112" i="1"/>
  <c r="F80" i="1"/>
  <c r="T39" i="1"/>
  <c r="E40" i="1"/>
  <c r="Y40" i="1" s="1"/>
  <c r="G40" i="1"/>
  <c r="M40" i="1"/>
  <c r="F42" i="1"/>
  <c r="X80" i="1"/>
  <c r="Q80" i="1" s="1"/>
  <c r="T77" i="1"/>
  <c r="P77" i="1"/>
  <c r="P114" i="1"/>
  <c r="U114" i="1"/>
  <c r="T114" i="1"/>
  <c r="S114" i="1"/>
  <c r="R114" i="1"/>
  <c r="Q114" i="1"/>
  <c r="F114" i="1"/>
  <c r="U39" i="1"/>
  <c r="Q78" i="1"/>
  <c r="F78" i="1"/>
  <c r="U78" i="1"/>
  <c r="T78" i="1"/>
  <c r="S78" i="1"/>
  <c r="R78" i="1"/>
  <c r="P78" i="1"/>
  <c r="U77" i="1"/>
  <c r="X42" i="1"/>
  <c r="S42" i="1" s="1"/>
  <c r="G113" i="1"/>
  <c r="E113" i="1"/>
  <c r="Y113" i="1" s="1"/>
  <c r="M113" i="1"/>
  <c r="R77" i="1"/>
  <c r="P42" i="1" l="1"/>
  <c r="R42" i="1"/>
  <c r="T42" i="1"/>
  <c r="U42" i="1"/>
  <c r="P80" i="1"/>
  <c r="R80" i="1"/>
  <c r="F130" i="1"/>
  <c r="X130" i="1"/>
  <c r="U130" i="1" s="1"/>
  <c r="T130" i="1"/>
  <c r="W118" i="1"/>
  <c r="W119" i="1"/>
  <c r="F115" i="1"/>
  <c r="X118" i="1"/>
  <c r="X119" i="1"/>
  <c r="X115" i="1"/>
  <c r="Q115" i="1" s="1"/>
  <c r="W117" i="1"/>
  <c r="U115" i="1"/>
  <c r="T115" i="1"/>
  <c r="W116" i="1"/>
  <c r="X116" i="1" s="1"/>
  <c r="F43" i="1"/>
  <c r="W45" i="1"/>
  <c r="X45" i="1" s="1"/>
  <c r="X43" i="1"/>
  <c r="Q43" i="1" s="1"/>
  <c r="T43" i="1"/>
  <c r="R43" i="1"/>
  <c r="P43" i="1"/>
  <c r="W46" i="1"/>
  <c r="W44" i="1"/>
  <c r="X44" i="1" s="1"/>
  <c r="T80" i="1"/>
  <c r="U80" i="1"/>
  <c r="S80" i="1"/>
  <c r="W82" i="1"/>
  <c r="X82" i="1" s="1"/>
  <c r="F81" i="1"/>
  <c r="X81" i="1"/>
  <c r="P81" i="1" s="1"/>
  <c r="U81" i="1"/>
  <c r="T81" i="1"/>
  <c r="R81" i="1"/>
  <c r="Q81" i="1"/>
  <c r="G80" i="1"/>
  <c r="E80" i="1"/>
  <c r="Y80" i="1" s="1"/>
  <c r="M80" i="1"/>
  <c r="E42" i="1"/>
  <c r="Y42" i="1" s="1"/>
  <c r="G42" i="1"/>
  <c r="M42" i="1"/>
  <c r="Q42" i="1"/>
  <c r="S43" i="1" l="1"/>
  <c r="S81" i="1"/>
  <c r="G82" i="1"/>
  <c r="E82" i="1"/>
  <c r="Y82" i="1" s="1"/>
  <c r="M82" i="1"/>
  <c r="E44" i="1"/>
  <c r="Y44" i="1" s="1"/>
  <c r="G44" i="1"/>
  <c r="M44" i="1"/>
  <c r="E116" i="1"/>
  <c r="Y116" i="1" s="1"/>
  <c r="G116" i="1"/>
  <c r="M116" i="1"/>
  <c r="G45" i="1"/>
  <c r="E45" i="1"/>
  <c r="Y45" i="1" s="1"/>
  <c r="M45" i="1"/>
  <c r="F46" i="1"/>
  <c r="G43" i="1"/>
  <c r="M43" i="1"/>
  <c r="W83" i="1"/>
  <c r="W47" i="1"/>
  <c r="Q82" i="1"/>
  <c r="U82" i="1"/>
  <c r="T82" i="1"/>
  <c r="S82" i="1"/>
  <c r="R82" i="1"/>
  <c r="P82" i="1"/>
  <c r="F82" i="1"/>
  <c r="G130" i="1"/>
  <c r="M130" i="1"/>
  <c r="W120" i="1"/>
  <c r="W132" i="1"/>
  <c r="G115" i="1"/>
  <c r="M115" i="1"/>
  <c r="G118" i="1"/>
  <c r="E118" i="1"/>
  <c r="Y118" i="1" s="1"/>
  <c r="M118" i="1"/>
  <c r="U119" i="1"/>
  <c r="T119" i="1"/>
  <c r="S119" i="1"/>
  <c r="R119" i="1"/>
  <c r="Q119" i="1"/>
  <c r="P119" i="1"/>
  <c r="F119" i="1"/>
  <c r="S44" i="1"/>
  <c r="R44" i="1"/>
  <c r="Q44" i="1"/>
  <c r="P44" i="1"/>
  <c r="F44" i="1"/>
  <c r="U44" i="1"/>
  <c r="T44" i="1"/>
  <c r="F117" i="1"/>
  <c r="X117" i="1"/>
  <c r="P117" i="1" s="1"/>
  <c r="R115" i="1"/>
  <c r="W129" i="1"/>
  <c r="G81" i="1"/>
  <c r="M81" i="1"/>
  <c r="U43" i="1"/>
  <c r="P118" i="1"/>
  <c r="S118" i="1"/>
  <c r="R118" i="1"/>
  <c r="Q118" i="1"/>
  <c r="F118" i="1"/>
  <c r="T118" i="1"/>
  <c r="U118" i="1"/>
  <c r="G119" i="1"/>
  <c r="E119" i="1"/>
  <c r="Y119" i="1" s="1"/>
  <c r="M119" i="1"/>
  <c r="Q45" i="1"/>
  <c r="U45" i="1"/>
  <c r="T45" i="1"/>
  <c r="R45" i="1"/>
  <c r="S45" i="1"/>
  <c r="P45" i="1"/>
  <c r="F45" i="1"/>
  <c r="X46" i="1"/>
  <c r="S46" i="1" s="1"/>
  <c r="S130" i="1"/>
  <c r="T116" i="1"/>
  <c r="S116" i="1"/>
  <c r="R116" i="1"/>
  <c r="Q116" i="1"/>
  <c r="P116" i="1"/>
  <c r="F116" i="1"/>
  <c r="U116" i="1"/>
  <c r="P130" i="1"/>
  <c r="P115" i="1"/>
  <c r="Q130" i="1"/>
  <c r="S115" i="1"/>
  <c r="R130" i="1"/>
  <c r="S117" i="1" l="1"/>
  <c r="T117" i="1"/>
  <c r="R117" i="1"/>
  <c r="U117" i="1"/>
  <c r="F132" i="1"/>
  <c r="X132" i="1"/>
  <c r="S132" i="1" s="1"/>
  <c r="U132" i="1"/>
  <c r="T132" i="1"/>
  <c r="Q132" i="1"/>
  <c r="R46" i="1"/>
  <c r="Q46" i="1"/>
  <c r="W122" i="1"/>
  <c r="X120" i="1"/>
  <c r="W121" i="1"/>
  <c r="P120" i="1"/>
  <c r="X122" i="1"/>
  <c r="F120" i="1"/>
  <c r="X121" i="1"/>
  <c r="U120" i="1"/>
  <c r="X129" i="1"/>
  <c r="R129" i="1" s="1"/>
  <c r="F129" i="1"/>
  <c r="P46" i="1"/>
  <c r="Q117" i="1"/>
  <c r="U46" i="1"/>
  <c r="E46" i="1"/>
  <c r="Y46" i="1" s="1"/>
  <c r="G46" i="1"/>
  <c r="M46" i="1"/>
  <c r="T46" i="1"/>
  <c r="W48" i="1"/>
  <c r="F47" i="1"/>
  <c r="X47" i="1"/>
  <c r="U47" i="1" s="1"/>
  <c r="W49" i="1"/>
  <c r="G117" i="1"/>
  <c r="E117" i="1"/>
  <c r="Y117" i="1" s="1"/>
  <c r="M117" i="1"/>
  <c r="W85" i="1"/>
  <c r="X83" i="1"/>
  <c r="S83" i="1" s="1"/>
  <c r="W86" i="1"/>
  <c r="X86" i="1" s="1"/>
  <c r="W84" i="1"/>
  <c r="X84" i="1" s="1"/>
  <c r="F83" i="1"/>
  <c r="X85" i="1"/>
  <c r="T47" i="1" l="1"/>
  <c r="P129" i="1"/>
  <c r="S129" i="1"/>
  <c r="T129" i="1"/>
  <c r="U129" i="1"/>
  <c r="G121" i="1"/>
  <c r="E121" i="1"/>
  <c r="Y121" i="1" s="1"/>
  <c r="M121" i="1"/>
  <c r="P121" i="1"/>
  <c r="U121" i="1"/>
  <c r="Q121" i="1"/>
  <c r="T121" i="1"/>
  <c r="S121" i="1"/>
  <c r="R121" i="1"/>
  <c r="F121" i="1"/>
  <c r="U83" i="1"/>
  <c r="G120" i="1"/>
  <c r="W133" i="1"/>
  <c r="M120" i="1"/>
  <c r="W123" i="1"/>
  <c r="G122" i="1"/>
  <c r="E122" i="1"/>
  <c r="Y122" i="1" s="1"/>
  <c r="M122" i="1"/>
  <c r="P122" i="1"/>
  <c r="Q122" i="1"/>
  <c r="F122" i="1"/>
  <c r="U122" i="1"/>
  <c r="T122" i="1"/>
  <c r="R122" i="1"/>
  <c r="S122" i="1"/>
  <c r="S85" i="1"/>
  <c r="U85" i="1"/>
  <c r="T85" i="1"/>
  <c r="R85" i="1"/>
  <c r="Q85" i="1"/>
  <c r="P85" i="1"/>
  <c r="F85" i="1"/>
  <c r="F49" i="1"/>
  <c r="G47" i="1"/>
  <c r="M47" i="1"/>
  <c r="W50" i="1"/>
  <c r="E85" i="1"/>
  <c r="Y85" i="1" s="1"/>
  <c r="G85" i="1"/>
  <c r="M85" i="1"/>
  <c r="W87" i="1"/>
  <c r="G83" i="1"/>
  <c r="M83" i="1"/>
  <c r="G84" i="1"/>
  <c r="E84" i="1"/>
  <c r="Y84" i="1" s="1"/>
  <c r="M84" i="1"/>
  <c r="G86" i="1"/>
  <c r="E86" i="1"/>
  <c r="Y86" i="1" s="1"/>
  <c r="M86" i="1"/>
  <c r="F48" i="1"/>
  <c r="G129" i="1"/>
  <c r="M129" i="1"/>
  <c r="G132" i="1"/>
  <c r="M132" i="1"/>
  <c r="P83" i="1"/>
  <c r="R120" i="1"/>
  <c r="Q83" i="1"/>
  <c r="R132" i="1"/>
  <c r="Q86" i="1"/>
  <c r="T86" i="1"/>
  <c r="U86" i="1"/>
  <c r="S86" i="1"/>
  <c r="R86" i="1"/>
  <c r="P86" i="1"/>
  <c r="F86" i="1"/>
  <c r="R47" i="1"/>
  <c r="S120" i="1"/>
  <c r="T83" i="1"/>
  <c r="X49" i="1"/>
  <c r="R49" i="1" s="1"/>
  <c r="U84" i="1"/>
  <c r="F84" i="1"/>
  <c r="T84" i="1"/>
  <c r="S84" i="1"/>
  <c r="R84" i="1"/>
  <c r="Q84" i="1"/>
  <c r="P84" i="1"/>
  <c r="X48" i="1"/>
  <c r="Q129" i="1"/>
  <c r="P47" i="1"/>
  <c r="P132" i="1"/>
  <c r="Q47" i="1"/>
  <c r="Q120" i="1"/>
  <c r="R83" i="1"/>
  <c r="S47" i="1"/>
  <c r="T120" i="1"/>
  <c r="F87" i="1" l="1"/>
  <c r="X87" i="1"/>
  <c r="U87" i="1"/>
  <c r="T87" i="1"/>
  <c r="R87" i="1"/>
  <c r="Q87" i="1"/>
  <c r="P87" i="1"/>
  <c r="W88" i="1"/>
  <c r="E48" i="1"/>
  <c r="Y48" i="1" s="1"/>
  <c r="G48" i="1"/>
  <c r="M48" i="1"/>
  <c r="R48" i="1"/>
  <c r="S49" i="1"/>
  <c r="U48" i="1"/>
  <c r="U49" i="1"/>
  <c r="S48" i="1"/>
  <c r="W124" i="1"/>
  <c r="X124" i="1" s="1"/>
  <c r="W125" i="1"/>
  <c r="X125" i="1" s="1"/>
  <c r="F123" i="1"/>
  <c r="X123" i="1"/>
  <c r="T123" i="1" s="1"/>
  <c r="G49" i="1"/>
  <c r="E49" i="1"/>
  <c r="Y49" i="1" s="1"/>
  <c r="M49" i="1"/>
  <c r="P48" i="1"/>
  <c r="Q48" i="1"/>
  <c r="T48" i="1"/>
  <c r="P49" i="1"/>
  <c r="T49" i="1"/>
  <c r="Q49" i="1"/>
  <c r="W53" i="1"/>
  <c r="W51" i="1"/>
  <c r="W54" i="1"/>
  <c r="F50" i="1"/>
  <c r="W52" i="1"/>
  <c r="X50" i="1"/>
  <c r="S50" i="1" s="1"/>
  <c r="U50" i="1"/>
  <c r="T50" i="1"/>
  <c r="X133" i="1"/>
  <c r="Q133" i="1" s="1"/>
  <c r="U133" i="1"/>
  <c r="S133" i="1"/>
  <c r="F133" i="1"/>
  <c r="R133" i="1" l="1"/>
  <c r="P50" i="1"/>
  <c r="Q50" i="1"/>
  <c r="R50" i="1"/>
  <c r="T133" i="1"/>
  <c r="P133" i="1"/>
  <c r="E124" i="1"/>
  <c r="Y124" i="1" s="1"/>
  <c r="G124" i="1"/>
  <c r="M124" i="1"/>
  <c r="F88" i="1"/>
  <c r="G123" i="1"/>
  <c r="M123" i="1"/>
  <c r="F51" i="1"/>
  <c r="W131" i="1"/>
  <c r="G87" i="1"/>
  <c r="M87" i="1"/>
  <c r="X51" i="1"/>
  <c r="U51" i="1" s="1"/>
  <c r="Q53" i="1"/>
  <c r="F53" i="1"/>
  <c r="X53" i="1"/>
  <c r="U53" i="1" s="1"/>
  <c r="S87" i="1"/>
  <c r="P124" i="1"/>
  <c r="F124" i="1"/>
  <c r="U124" i="1"/>
  <c r="T124" i="1"/>
  <c r="S124" i="1"/>
  <c r="Q124" i="1"/>
  <c r="R124" i="1"/>
  <c r="R123" i="1"/>
  <c r="G133" i="1"/>
  <c r="M133" i="1"/>
  <c r="F54" i="1"/>
  <c r="Q123" i="1"/>
  <c r="G50" i="1"/>
  <c r="M50" i="1"/>
  <c r="W55" i="1"/>
  <c r="F52" i="1"/>
  <c r="U123" i="1"/>
  <c r="P123" i="1"/>
  <c r="X52" i="1"/>
  <c r="S52" i="1" s="1"/>
  <c r="G125" i="1"/>
  <c r="E125" i="1"/>
  <c r="Y125" i="1" s="1"/>
  <c r="M125" i="1"/>
  <c r="P125" i="1"/>
  <c r="U125" i="1"/>
  <c r="Q125" i="1"/>
  <c r="T125" i="1"/>
  <c r="S125" i="1"/>
  <c r="R125" i="1"/>
  <c r="F125" i="1"/>
  <c r="X54" i="1"/>
  <c r="P54" i="1" s="1"/>
  <c r="S123" i="1"/>
  <c r="X88" i="1"/>
  <c r="Q88" i="1" s="1"/>
  <c r="U54" i="1" l="1"/>
  <c r="P88" i="1"/>
  <c r="Q54" i="1"/>
  <c r="P51" i="1"/>
  <c r="Q52" i="1"/>
  <c r="T52" i="1"/>
  <c r="U52" i="1"/>
  <c r="P52" i="1"/>
  <c r="R52" i="1"/>
  <c r="P53" i="1"/>
  <c r="R53" i="1"/>
  <c r="S53" i="1"/>
  <c r="T53" i="1"/>
  <c r="X131" i="1"/>
  <c r="R131" i="1" s="1"/>
  <c r="U131" i="1"/>
  <c r="Q131" i="1"/>
  <c r="P131" i="1"/>
  <c r="F131" i="1"/>
  <c r="T131" i="1"/>
  <c r="S131" i="1"/>
  <c r="R51" i="1"/>
  <c r="Q51" i="1"/>
  <c r="S51" i="1"/>
  <c r="T51" i="1"/>
  <c r="G88" i="1"/>
  <c r="E88" i="1"/>
  <c r="Y88" i="1" s="1"/>
  <c r="M88" i="1"/>
  <c r="E54" i="1"/>
  <c r="Y54" i="1" s="1"/>
  <c r="G54" i="1"/>
  <c r="M54" i="1"/>
  <c r="G53" i="1"/>
  <c r="E53" i="1"/>
  <c r="Y53" i="1" s="1"/>
  <c r="M53" i="1"/>
  <c r="W56" i="1"/>
  <c r="X56" i="1" s="1"/>
  <c r="F55" i="1"/>
  <c r="W57" i="1"/>
  <c r="X55" i="1"/>
  <c r="T55" i="1" s="1"/>
  <c r="S55" i="1"/>
  <c r="W58" i="1"/>
  <c r="X58" i="1" s="1"/>
  <c r="R88" i="1"/>
  <c r="R54" i="1"/>
  <c r="S88" i="1"/>
  <c r="T54" i="1"/>
  <c r="T88" i="1"/>
  <c r="U88" i="1"/>
  <c r="G51" i="1"/>
  <c r="E51" i="1"/>
  <c r="Y51" i="1" s="1"/>
  <c r="M51" i="1"/>
  <c r="E52" i="1"/>
  <c r="Y52" i="1" s="1"/>
  <c r="G52" i="1"/>
  <c r="M52" i="1"/>
  <c r="S54" i="1"/>
  <c r="U55" i="1" l="1"/>
  <c r="E56" i="1"/>
  <c r="Y56" i="1" s="1"/>
  <c r="G56" i="1"/>
  <c r="M56" i="1"/>
  <c r="S58" i="1"/>
  <c r="T58" i="1"/>
  <c r="R58" i="1"/>
  <c r="Q58" i="1"/>
  <c r="P58" i="1"/>
  <c r="F58" i="1"/>
  <c r="U58" i="1"/>
  <c r="P55" i="1"/>
  <c r="Q55" i="1"/>
  <c r="R55" i="1"/>
  <c r="F57" i="1"/>
  <c r="E58" i="1"/>
  <c r="Y58" i="1" s="1"/>
  <c r="G58" i="1"/>
  <c r="M58" i="1"/>
  <c r="G55" i="1"/>
  <c r="M55" i="1"/>
  <c r="X57" i="1"/>
  <c r="Q57" i="1" s="1"/>
  <c r="S56" i="1"/>
  <c r="U56" i="1"/>
  <c r="T56" i="1"/>
  <c r="R56" i="1"/>
  <c r="Q56" i="1"/>
  <c r="P56" i="1"/>
  <c r="F56" i="1"/>
  <c r="W89" i="1"/>
  <c r="G131" i="1"/>
  <c r="M131" i="1"/>
  <c r="P57" i="1" l="1"/>
  <c r="S57" i="1"/>
  <c r="R57" i="1"/>
  <c r="W90" i="1"/>
  <c r="X90" i="1" s="1"/>
  <c r="X89" i="1"/>
  <c r="U89" i="1" s="1"/>
  <c r="W91" i="1"/>
  <c r="T89" i="1"/>
  <c r="F89" i="1"/>
  <c r="G57" i="1"/>
  <c r="E57" i="1"/>
  <c r="Y57" i="1" s="1"/>
  <c r="M57" i="1"/>
  <c r="T57" i="1"/>
  <c r="U57" i="1"/>
  <c r="P89" i="1" l="1"/>
  <c r="G90" i="1"/>
  <c r="E90" i="1"/>
  <c r="Y90" i="1" s="1"/>
  <c r="M90" i="1"/>
  <c r="F91" i="1"/>
  <c r="X91" i="1"/>
  <c r="Q89" i="1"/>
  <c r="R89" i="1"/>
  <c r="S89" i="1"/>
  <c r="W135" i="1"/>
  <c r="G89" i="1"/>
  <c r="M89" i="1"/>
  <c r="U90" i="1"/>
  <c r="T90" i="1"/>
  <c r="S90" i="1"/>
  <c r="R90" i="1"/>
  <c r="Q90" i="1"/>
  <c r="P90" i="1"/>
  <c r="F90" i="1"/>
  <c r="G91" i="1" l="1"/>
  <c r="E91" i="1"/>
  <c r="Y91" i="1" s="1"/>
  <c r="J10" i="1" s="1"/>
  <c r="M91" i="1"/>
  <c r="F135" i="1"/>
  <c r="X135" i="1"/>
  <c r="Q135" i="1" s="1"/>
  <c r="P91" i="1"/>
  <c r="T91" i="1"/>
  <c r="Q91" i="1"/>
  <c r="R91" i="1"/>
  <c r="U91" i="1"/>
  <c r="S91" i="1"/>
  <c r="K6" i="1"/>
  <c r="J7" i="1"/>
  <c r="K10" i="1"/>
  <c r="K8" i="1"/>
  <c r="K7" i="1"/>
  <c r="K9" i="1"/>
  <c r="J9" i="1"/>
  <c r="J6" i="1"/>
  <c r="J8" i="1"/>
  <c r="R135" i="1" l="1"/>
  <c r="P135" i="1"/>
  <c r="S135" i="1"/>
  <c r="T135" i="1"/>
  <c r="U135" i="1"/>
  <c r="G135" i="1"/>
  <c r="W136" i="1"/>
  <c r="M135" i="1"/>
  <c r="F136" i="1" l="1"/>
  <c r="X136" i="1"/>
  <c r="P136" i="1" s="1"/>
  <c r="T136" i="1"/>
  <c r="U136" i="1"/>
  <c r="R136" i="1"/>
  <c r="W137" i="1" l="1"/>
  <c r="G136" i="1"/>
  <c r="M136" i="1"/>
  <c r="Q136" i="1"/>
  <c r="S136" i="1"/>
  <c r="X137" i="1" l="1"/>
  <c r="F137" i="1"/>
  <c r="G137" i="1" l="1"/>
  <c r="C9" i="1"/>
  <c r="C10" i="1" s="1"/>
  <c r="M137" i="1"/>
  <c r="P137" i="1"/>
  <c r="Q137" i="1"/>
  <c r="R137" i="1"/>
  <c r="S137" i="1"/>
  <c r="T137" i="1"/>
  <c r="U137" i="1"/>
  <c r="N9" i="1" l="1"/>
  <c r="M10" i="1"/>
  <c r="N10" i="1"/>
  <c r="N8" i="1"/>
  <c r="N7" i="1"/>
  <c r="M6" i="1"/>
  <c r="N6" i="1"/>
  <c r="M8" i="1"/>
  <c r="M7" i="1"/>
  <c r="M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000-000001000000}">
      <text>
        <r>
          <rPr>
            <sz val="10"/>
            <rFont val="Arial"/>
            <family val="2"/>
          </rPr>
          <t>Go-live date agreed in the 6-week plan (v3.4).</t>
        </r>
      </text>
    </comment>
    <comment ref="D13" authorId="0" shapeId="0" xr:uid="{00000000-0006-0000-0000-000002000000}">
      <text>
        <r>
          <rPr>
            <sz val="10"/>
            <rFont val="Arial"/>
            <family val="2"/>
          </rPr>
          <t>AI-engineer rows: estimated hours (editable on subtasks). External rows: effort only; it does not change the schedule.</t>
        </r>
      </text>
    </comment>
    <comment ref="E13" authorId="0" shapeId="0" xr:uid="{00000000-0006-0000-0000-000003000000}">
      <text>
        <r>
          <rPr>
            <sz val="10"/>
            <rFont val="Arial"/>
            <family val="2"/>
          </rPr>
          <t>Engineering tasks: hours ÷ 8, rounded up. External tasks: elapsed working days (editable).</t>
        </r>
      </text>
    </comment>
    <comment ref="L13" authorId="0" shapeId="0" xr:uid="{00000000-0006-0000-0000-000004000000}">
      <text>
        <r>
          <rPr>
            <sz val="10"/>
            <rFont val="Arial"/>
            <family val="2"/>
          </rPr>
          <t>Share of checklist items marked Yes on the Checklist sheet.</t>
        </r>
      </text>
    </comment>
  </commentList>
</comments>
</file>

<file path=xl/sharedStrings.xml><?xml version="1.0" encoding="utf-8"?>
<sst xmlns="http://schemas.openxmlformats.org/spreadsheetml/2006/main" count="2137" uniqueCount="748">
  <si>
    <t>MedVoice v3.4 — 6-Week Delivery Tracker</t>
  </si>
  <si>
    <t>Andalusia Group  |  AI Team  |  Update only the yellow cells. Task rows, flags, team progress and the Gantt update automatically.</t>
  </si>
  <si>
    <t>Project start</t>
  </si>
  <si>
    <t>Team</t>
  </si>
  <si>
    <t>Hours</t>
  </si>
  <si>
    <t>Planned %</t>
  </si>
  <si>
    <t>Done %</t>
  </si>
  <si>
    <t>Blocked</t>
  </si>
  <si>
    <t>Late</t>
  </si>
  <si>
    <t>To check</t>
  </si>
  <si>
    <t>Meeting date</t>
  </si>
  <si>
    <t>Ahmed Hamdy</t>
  </si>
  <si>
    <t>Working day</t>
  </si>
  <si>
    <t>Doha</t>
  </si>
  <si>
    <t>Baseline go-live</t>
  </si>
  <si>
    <t>Mohamed Essam</t>
  </si>
  <si>
    <t>Forecast go-live</t>
  </si>
  <si>
    <t>External teams</t>
  </si>
  <si>
    <t>—</t>
  </si>
  <si>
    <t>Ahead (+) / behind (−)</t>
  </si>
  <si>
    <t>Whole project</t>
  </si>
  <si>
    <t>Planned % = where the plan expects us on the meeting date. "To check" = status and % do not match (e.g. In progress at 0%).</t>
  </si>
  <si>
    <t>ID</t>
  </si>
  <si>
    <t>Task / subtask</t>
  </si>
  <si>
    <t>Owner</t>
  </si>
  <si>
    <t>Days</t>
  </si>
  <si>
    <t>Start</t>
  </si>
  <si>
    <t>End</t>
  </si>
  <si>
    <t>Depends on</t>
  </si>
  <si>
    <t>Done when</t>
  </si>
  <si>
    <t>Status</t>
  </si>
  <si>
    <t>% done</t>
  </si>
  <si>
    <t>Checklist</t>
  </si>
  <si>
    <t>Flag</t>
  </si>
  <si>
    <t>Notes / blockers</t>
  </si>
  <si>
    <t>W1</t>
  </si>
  <si>
    <t>W2</t>
  </si>
  <si>
    <t>W3</t>
  </si>
  <si>
    <t>W4</t>
  </si>
  <si>
    <t>W5</t>
  </si>
  <si>
    <t>W6</t>
  </si>
  <si>
    <t>SD</t>
  </si>
  <si>
    <t>ED</t>
  </si>
  <si>
    <t>DAYS</t>
  </si>
  <si>
    <t>LVL</t>
  </si>
  <si>
    <t>TEAM</t>
  </si>
  <si>
    <t>PREV</t>
  </si>
  <si>
    <t>P0</t>
  </si>
  <si>
    <t>PRE-REQUISITES — outside the AI team</t>
  </si>
  <si>
    <t>X1</t>
  </si>
  <si>
    <t>Approve use of de-identified logged sessions as the gold set</t>
  </si>
  <si>
    <t>Compliance</t>
  </si>
  <si>
    <t>Signed approval received</t>
  </si>
  <si>
    <t>In progress</t>
  </si>
  <si>
    <t>Essam calls Germeen</t>
  </si>
  <si>
    <t>T</t>
  </si>
  <si>
    <t>Ext</t>
  </si>
  <si>
    <t>X2</t>
  </si>
  <si>
    <t>Export ICD-10 code master from the HIS coding system</t>
  </si>
  <si>
    <t>Coding team</t>
  </si>
  <si>
    <t>File delivered and readable</t>
  </si>
  <si>
    <t>X3</t>
  </si>
  <si>
    <t>Confirm residency: Foundry region; continued use of Munsit and Voxtral APIs</t>
  </si>
  <si>
    <t>Written approval</t>
  </si>
  <si>
    <t>X4</t>
  </si>
  <si>
    <t>Sign acceptance thresholds and pilot site</t>
  </si>
  <si>
    <t>Steering</t>
  </si>
  <si>
    <t>Signed gate sheet</t>
  </si>
  <si>
    <t>Asked Doha to prepare</t>
  </si>
  <si>
    <t>AHMED HAMDY — Platform &amp; performance</t>
  </si>
  <si>
    <t>A1</t>
  </si>
  <si>
    <t>Fix LLM concurrency: shared async client, 45 s timeout, backoff + jitter, per-model limits, async streaming</t>
  </si>
  <si>
    <t>30 parallel analyses complete; no event-loop blocking; ≤ 3 retries each</t>
  </si>
  <si>
    <t>A1.1</t>
  </si>
  <si>
    <t xml:space="preserve">    Shared async client + 45 s timeout, no hidden retries</t>
  </si>
  <si>
    <t>S</t>
  </si>
  <si>
    <t>A1.2</t>
  </si>
  <si>
    <t xml:space="preserve">    Async streaming for refine / translate</t>
  </si>
  <si>
    <t>A1.3</t>
  </si>
  <si>
    <t xml:space="preserve">    Backoff + jitter on 429/5xx; remove key rotation</t>
  </si>
  <si>
    <t>A1.4</t>
  </si>
  <si>
    <t xml:space="preserve">    Per-model concurrency limits (semaphores)</t>
  </si>
  <si>
    <t>A1.5</t>
  </si>
  <si>
    <t xml:space="preserve">    Test: 30 parallel analyses</t>
  </si>
  <si>
    <t>A2</t>
  </si>
  <si>
    <t>Azure foundation: Key Vault, managed identities, private endpoints, App Insights</t>
  </si>
  <si>
    <t>No secrets in code; private access only; traces visible</t>
  </si>
  <si>
    <t>A2.1</t>
  </si>
  <si>
    <t xml:space="preserve">    Key Vault; move all secrets</t>
  </si>
  <si>
    <t>Not started</t>
  </si>
  <si>
    <t>A2.2</t>
  </si>
  <si>
    <t xml:space="preserve">    Managed identities + RBAC</t>
  </si>
  <si>
    <t>A2.3</t>
  </si>
  <si>
    <t xml:space="preserve">    Private endpoints + DNS (Foundry, Key Vault)</t>
  </si>
  <si>
    <t>A2.4</t>
  </si>
  <si>
    <t xml:space="preserve">    App Insights, no patient text in logs</t>
  </si>
  <si>
    <t>B5</t>
  </si>
  <si>
    <t>Incremental structuring: structure each transcript segment live, consolidate at end</t>
  </si>
  <si>
    <t>B1</t>
  </si>
  <si>
    <t>Final note ≤ 3 s after stop; no fidelity loss</t>
  </si>
  <si>
    <t>B5.1</t>
  </si>
  <si>
    <t xml:space="preserve">    Structure each final transcript segment with running context</t>
  </si>
  <si>
    <t>B5.2</t>
  </si>
  <si>
    <t xml:space="preserve">    Consolidation pass when dictation stops</t>
  </si>
  <si>
    <t>B5.3</t>
  </si>
  <si>
    <t xml:space="preserve">    Compare with one-shot on 10 transcripts</t>
  </si>
  <si>
    <t>B4</t>
  </si>
  <si>
    <t>Reasoning router: rule-based triggers, GPT-5.6 Terra default, one-step escalation to Sol, audit</t>
  </si>
  <si>
    <t>B3, B0</t>
  </si>
  <si>
    <t>Every routed case has an audit entry; tests pass</t>
  </si>
  <si>
    <t>B3</t>
  </si>
  <si>
    <t>B0</t>
  </si>
  <si>
    <t>B4.1</t>
  </si>
  <si>
    <t xml:space="preserve">    Trigger rules as a pure function</t>
  </si>
  <si>
    <t>B4.2</t>
  </si>
  <si>
    <t xml:space="preserve">    Terra default; one escalation to Sol</t>
  </si>
  <si>
    <t>B4.3</t>
  </si>
  <si>
    <t xml:space="preserve">    Audit record + unit tests</t>
  </si>
  <si>
    <t>A4</t>
  </si>
  <si>
    <t>CI/CD pipeline and staging environment</t>
  </si>
  <si>
    <t>Pipeline green; staging reachable privately</t>
  </si>
  <si>
    <t>A4.1</t>
  </si>
  <si>
    <t xml:space="preserve">    CI pipeline: lint, test, build, push</t>
  </si>
  <si>
    <t>A4.2</t>
  </si>
  <si>
    <t xml:space="preserve">    Staging environment</t>
  </si>
  <si>
    <t>A4.3</t>
  </si>
  <si>
    <t xml:space="preserve">    Smoke test + approval gate to production</t>
  </si>
  <si>
    <t>A3</t>
  </si>
  <si>
    <t>Deploy Foundry models: GPT-4o mini, GPT-5.6 Luna / Terra / Sol, structuring LLM</t>
  </si>
  <si>
    <t>All endpoints reachable via private endpoint; valid JSON</t>
  </si>
  <si>
    <t>A3.1</t>
  </si>
  <si>
    <t xml:space="preserve">    Deploy GPT-4o mini, Luna, Terra, Sol, DeepSeek V3</t>
  </si>
  <si>
    <t>A3.2</t>
  </si>
  <si>
    <t xml:space="preserve">    Record quotas; add to config</t>
  </si>
  <si>
    <t>A3.3</t>
  </si>
  <si>
    <t xml:space="preserve">    Strict-JSON smoke test; content-filter check</t>
  </si>
  <si>
    <t>A5</t>
  </si>
  <si>
    <t>Load-test harness for WebSocket + SSE sessions</t>
  </si>
  <si>
    <t>Harness runs both languages</t>
  </si>
  <si>
    <t>A5.1</t>
  </si>
  <si>
    <t xml:space="preserve">    Locust session script (audio stream + SSE)</t>
  </si>
  <si>
    <t>A5.2</t>
  </si>
  <si>
    <t xml:space="preserve">    Export timings per session</t>
  </si>
  <si>
    <t>A7</t>
  </si>
  <si>
    <t>Resilience: health checks, circuit breakers, model fallback, admission control</t>
  </si>
  <si>
    <t>M4</t>
  </si>
  <si>
    <t>Fallbacks exercised in tests</t>
  </si>
  <si>
    <t>A7.1</t>
  </si>
  <si>
    <t xml:space="preserve">    Health and readiness probes</t>
  </si>
  <si>
    <t>A7.2</t>
  </si>
  <si>
    <t xml:space="preserve">    Circuit breaker per provider</t>
  </si>
  <si>
    <t>A7.3</t>
  </si>
  <si>
    <t xml:space="preserve">    Model fallbacks (4o mini ↔ Luna, Terra → Sol)</t>
  </si>
  <si>
    <t>A7.4</t>
  </si>
  <si>
    <t xml:space="preserve">    Admission control (503 + Retry-After)</t>
  </si>
  <si>
    <t>A6</t>
  </si>
  <si>
    <t>Load test 1→50 sessions; tune limits; confirm p95 latency and 429 rate</t>
  </si>
  <si>
    <t>A5, A7, M4</t>
  </si>
  <si>
    <t>p95 ≤ target; 429 &lt; 1%; accuracy loss &lt; 2 pts</t>
  </si>
  <si>
    <t>A6.1</t>
  </si>
  <si>
    <t xml:space="preserve">    Ramp 1 → 50 sessions per language</t>
  </si>
  <si>
    <t>A6.2</t>
  </si>
  <si>
    <t xml:space="preserve">    Accuracy check at peak (20 encounters)</t>
  </si>
  <si>
    <t>A6.3</t>
  </si>
  <si>
    <t xml:space="preserve">    Tune limits; capacity report</t>
  </si>
  <si>
    <t>DOHA — Clinical AI</t>
  </si>
  <si>
    <t>Structuring prompt + schema: sections, translation, speaker labels with confidence, no-inference rules, routing signals</t>
  </si>
  <si>
    <t>All 20 tests pass; Clinical Lead approves schema</t>
  </si>
  <si>
    <t>B1.1</t>
  </si>
  <si>
    <t xml:space="preserve">    Structured-note JSON schema</t>
  </si>
  <si>
    <t>B1.2</t>
  </si>
  <si>
    <t xml:space="preserve">    Prompt: no-inference + translation rules</t>
  </si>
  <si>
    <t>B1.3</t>
  </si>
  <si>
    <t xml:space="preserve">    Arabic / mixed few-shot examples</t>
  </si>
  <si>
    <t>B1.4</t>
  </si>
  <si>
    <t xml:space="preserve">    20 fidelity tests</t>
  </si>
  <si>
    <t>Keep term correction before structuring; add red-flag lexicon for routing</t>
  </si>
  <si>
    <t>Lexicon file committed; red flags detected in tests</t>
  </si>
  <si>
    <t>B0.1</t>
  </si>
  <si>
    <t xml:space="preserve">    Keep term correction before structuring</t>
  </si>
  <si>
    <t>B0.2</t>
  </si>
  <si>
    <t xml:space="preserve">    Red-flag lexicon file + routing signal</t>
  </si>
  <si>
    <t>Reasoning prompt: ICD-10 (edition stated), diagnosis, rationale, ER triage, gaps, plan review, citations</t>
  </si>
  <si>
    <t>15 cases reviewed by clinician; schema valid</t>
  </si>
  <si>
    <t>B3.1</t>
  </si>
  <si>
    <t xml:space="preserve">    Reasoning output schema</t>
  </si>
  <si>
    <t>B3.2</t>
  </si>
  <si>
    <t>B3.3</t>
  </si>
  <si>
    <t xml:space="preserve">    History-scope + citation rules</t>
  </si>
  <si>
    <t>B3.4</t>
  </si>
  <si>
    <t xml:space="preserve">    15 clinical test cases</t>
  </si>
  <si>
    <t>B2</t>
  </si>
  <si>
    <t>Extraction prompts per specialty (ER / OPD / Dental): note fields only, no history</t>
  </si>
  <si>
    <t>100% schema-valid output</t>
  </si>
  <si>
    <t>B2.1</t>
  </si>
  <si>
    <t xml:space="preserve">    Remove ICD-10, diagnosis, history from prompts</t>
  </si>
  <si>
    <t>B2.2</t>
  </si>
  <si>
    <t xml:space="preserve">    Strict schemas: ER, OPD, Dental</t>
  </si>
  <si>
    <t>B2.3</t>
  </si>
  <si>
    <t xml:space="preserve">    Schema-validity tests (20 notes per department)</t>
  </si>
  <si>
    <t>M6</t>
  </si>
  <si>
    <t>Carry forward: existing history SQL + scope rules, voice-fill via structuring, consent line</t>
  </si>
  <si>
    <t>B3, B5</t>
  </si>
  <si>
    <t>Voice-fill works in both languages; history never sent to extraction</t>
  </si>
  <si>
    <t>M6.1</t>
  </si>
  <si>
    <t xml:space="preserve">    History sent to reasoning only (existing SQL)</t>
  </si>
  <si>
    <t>M6.2</t>
  </si>
  <si>
    <t xml:space="preserve">    Voice-fill through structuring</t>
  </si>
  <si>
    <t>M6.3</t>
  </si>
  <si>
    <t xml:space="preserve">    Consent line in Conversation Mode</t>
  </si>
  <si>
    <t>A9</t>
  </si>
  <si>
    <t>Run current product on gold set (As-Is baseline)</t>
  </si>
  <si>
    <t>X5</t>
  </si>
  <si>
    <t>Baseline file delivered</t>
  </si>
  <si>
    <t>A9.1</t>
  </si>
  <si>
    <t xml:space="preserve">    Run current product on gold set; export results</t>
  </si>
  <si>
    <t>B6</t>
  </si>
  <si>
    <t>Benchmark on gold set: structuring fidelity, extraction (4o mini vs Luna), Terra vs Sol</t>
  </si>
  <si>
    <t>X5, M4, A3</t>
  </si>
  <si>
    <t>Models selected and approved</t>
  </si>
  <si>
    <t>B6.1</t>
  </si>
  <si>
    <t xml:space="preserve">    Structuring fidelity on gold set</t>
  </si>
  <si>
    <t>B6.2</t>
  </si>
  <si>
    <t xml:space="preserve">    Extraction: GPT-4o mini vs Luna</t>
  </si>
  <si>
    <t>B6.3</t>
  </si>
  <si>
    <t xml:space="preserve">    Reasoning results, escalation share, decision memo</t>
  </si>
  <si>
    <t>B8</t>
  </si>
  <si>
    <t>End-to-end run of new pipeline on gold set</t>
  </si>
  <si>
    <t>File delivered to reviewers</t>
  </si>
  <si>
    <t>B8.1</t>
  </si>
  <si>
    <t xml:space="preserve">    Run new pipeline on gold set; export results</t>
  </si>
  <si>
    <t>B9</t>
  </si>
  <si>
    <t>Fix gaps found by clinicians; re-run failed cases</t>
  </si>
  <si>
    <t>X6b</t>
  </si>
  <si>
    <t>Gate accuracy criteria met</t>
  </si>
  <si>
    <t>B9.1</t>
  </si>
  <si>
    <t xml:space="preserve">    Fix failed cases (prompts, triggers, lexicon)</t>
  </si>
  <si>
    <t>B9.2</t>
  </si>
  <si>
    <t xml:space="preserve">    Re-run affected encounters</t>
  </si>
  <si>
    <t>MOHAMED ESSAM — Integration &amp; application</t>
  </si>
  <si>
    <t>M1</t>
  </si>
  <si>
    <t>Clinical AI Gateway (API Management): Entra auth, rate limits, audit log</t>
  </si>
  <si>
    <t>All model calls pass through gateway; policies tested</t>
  </si>
  <si>
    <t>M1.1</t>
  </si>
  <si>
    <t xml:space="preserve">    API Management instance with VNet</t>
  </si>
  <si>
    <t>M1.2</t>
  </si>
  <si>
    <t xml:space="preserve">    Policies: Entra ID, rate limits</t>
  </si>
  <si>
    <t>M1.3</t>
  </si>
  <si>
    <t xml:space="preserve">    Foundry backends; logging without bodies</t>
  </si>
  <si>
    <t>M2</t>
  </si>
  <si>
    <t>Provider adapter: switch OpenRouter → Foundry by configuration</t>
  </si>
  <si>
    <t>Provider switch without code change; tests pass</t>
  </si>
  <si>
    <t>M2.1</t>
  </si>
  <si>
    <t xml:space="preserve">    Provider interfaces (LLM, STT)</t>
  </si>
  <si>
    <t>M2.2</t>
  </si>
  <si>
    <t xml:space="preserve">    Config switch OpenRouter → Foundry</t>
  </si>
  <si>
    <t>A8</t>
  </si>
  <si>
    <t>Build gold set: sample 100 logged sessions (70% Arabic/mixed), de-identify</t>
  </si>
  <si>
    <t>De-identified package delivered</t>
  </si>
  <si>
    <t>A8.1</t>
  </si>
  <si>
    <t xml:space="preserve">    Sample 100 sessions; de-identify; package</t>
  </si>
  <si>
    <t>M3</t>
  </si>
  <si>
    <t>Validation layer: ICD-10 code check, schema, diagnosis–findings consistency, history cross-check, missing-field checklist</t>
  </si>
  <si>
    <t>B1, X2</t>
  </si>
  <si>
    <t>All rules tested; invalid output rejected with reason</t>
  </si>
  <si>
    <t>M3.1</t>
  </si>
  <si>
    <t xml:space="preserve">    ICD-10 code lookup from HIS master</t>
  </si>
  <si>
    <t>M3.2</t>
  </si>
  <si>
    <t xml:space="preserve">    Pydantic output schemas</t>
  </si>
  <si>
    <t>M3.3</t>
  </si>
  <si>
    <t xml:space="preserve">    Consistency rules (laterality, evidence)</t>
  </si>
  <si>
    <t>M3.4</t>
  </si>
  <si>
    <t xml:space="preserve">    History cross-check + missing-field checklist</t>
  </si>
  <si>
    <t>M3.5</t>
  </si>
  <si>
    <t xml:space="preserve">    Rule tests</t>
  </si>
  <si>
    <t>M7</t>
  </si>
  <si>
    <t>Dashboard behind Entra ID; remove transcripts from logs (PHI-safe)</t>
  </si>
  <si>
    <t>Unauthenticated access returns 401; PHI scan clean</t>
  </si>
  <si>
    <t>M7.1</t>
  </si>
  <si>
    <t xml:space="preserve">    Entra ID on dashboard and admin</t>
  </si>
  <si>
    <t>M7.2</t>
  </si>
  <si>
    <t xml:space="preserve">    Remove transcripts from logs</t>
  </si>
  <si>
    <t>Parallel orchestration (extraction ∥ reasoning) + progressive SSE</t>
  </si>
  <si>
    <t>A1, M2, B0, B2, B4, B5, M3</t>
  </si>
  <si>
    <t>Stage time ≈ slower branch; merged output passes schema</t>
  </si>
  <si>
    <t>M4.1</t>
  </si>
  <si>
    <t xml:space="preserve">    Run extraction ∥ reasoning with timeouts</t>
  </si>
  <si>
    <t>M4.2</t>
  </si>
  <si>
    <t xml:space="preserve">    Merge → validation → escalation</t>
  </si>
  <si>
    <t>M4.3</t>
  </si>
  <si>
    <t xml:space="preserve">    SSE events to the UI</t>
  </si>
  <si>
    <t>M5</t>
  </si>
  <si>
    <t>UI: progressive results, citations, cautions, re-run reasoning, speaker confirmation</t>
  </si>
  <si>
    <t>All flows usable in staging</t>
  </si>
  <si>
    <t>M5.1</t>
  </si>
  <si>
    <t xml:space="preserve">    Progressive rendering</t>
  </si>
  <si>
    <t>M5.2</t>
  </si>
  <si>
    <t xml:space="preserve">    Citation click-through</t>
  </si>
  <si>
    <t>M5.3</t>
  </si>
  <si>
    <t xml:space="preserve">    Caution banners + re-run reasoning</t>
  </si>
  <si>
    <t>M5.4</t>
  </si>
  <si>
    <t xml:space="preserve">    Speaker confirmation + Arabic RTL check</t>
  </si>
  <si>
    <t>M8</t>
  </si>
  <si>
    <t>Functional regression test against current product</t>
  </si>
  <si>
    <t>M5, M6</t>
  </si>
  <si>
    <t>No open S1/S2 defects</t>
  </si>
  <si>
    <t>M8.1</t>
  </si>
  <si>
    <t xml:space="preserve">    30 regression scenarios</t>
  </si>
  <si>
    <t>M8.2</t>
  </si>
  <si>
    <t xml:space="preserve">    Defect triage and retest</t>
  </si>
  <si>
    <t>M9</t>
  </si>
  <si>
    <t>Fix penetration-test findings</t>
  </si>
  <si>
    <t>X7</t>
  </si>
  <si>
    <t>Security sign-off</t>
  </si>
  <si>
    <t>M9.1</t>
  </si>
  <si>
    <t xml:space="preserve">    Fix high / medium findings</t>
  </si>
  <si>
    <t>M9.2</t>
  </si>
  <si>
    <t xml:space="preserve">    Retest with security team</t>
  </si>
  <si>
    <t>CLINICAL, SECURITY &amp; UAT — outside the AI team</t>
  </si>
  <si>
    <t>X10</t>
  </si>
  <si>
    <t>Clinical Lead reviews red-flag lexicon (Arabic / English)</t>
  </si>
  <si>
    <t>Clinical Lead</t>
  </si>
  <si>
    <t>Lexicon signed off</t>
  </si>
  <si>
    <t>Clinicians annotate 100 encounters (fields, ICD-10, diagnosis)</t>
  </si>
  <si>
    <t>Clinical reviewers</t>
  </si>
  <si>
    <t>100 encounters annotated and frozen</t>
  </si>
  <si>
    <t>X6a</t>
  </si>
  <si>
    <t>Clinicians score As-Is baseline outputs</t>
  </si>
  <si>
    <t>Baseline scores complete</t>
  </si>
  <si>
    <t>Penetration test on staging (gateway, endpoints, app)</t>
  </si>
  <si>
    <t>Security team</t>
  </si>
  <si>
    <t>M4, M7, A4</t>
  </si>
  <si>
    <t>Findings report delivered</t>
  </si>
  <si>
    <t>Clinicians score new-pipeline outputs</t>
  </si>
  <si>
    <t>B8, X6a</t>
  </si>
  <si>
    <t>Scores complete</t>
  </si>
  <si>
    <t>X9</t>
  </si>
  <si>
    <t>Doctor training and quick guide</t>
  </si>
  <si>
    <t>Product Owner</t>
  </si>
  <si>
    <t>Pilot doctors trained</t>
  </si>
  <si>
    <t>X8</t>
  </si>
  <si>
    <t>UAT with doctors (ER, OPD, Dental; Arabic and English)</t>
  </si>
  <si>
    <t>Doctors + Clinical Lead</t>
  </si>
  <si>
    <t>UAT sign-off</t>
  </si>
  <si>
    <t>GATE, PILOT &amp; GO-LIVE</t>
  </si>
  <si>
    <t>G1</t>
  </si>
  <si>
    <t>Go-live gate: accuracy, load, security and UAT criteria met</t>
  </si>
  <si>
    <t>Steering + Clinical Lead</t>
  </si>
  <si>
    <t>B9, A6, M9, X3, X4, X8, X10</t>
  </si>
  <si>
    <t>Decision recorded</t>
  </si>
  <si>
    <t>P1</t>
  </si>
  <si>
    <t>Controlled pilot at one site (rollback ready)</t>
  </si>
  <si>
    <t>PM + Clinical Lead</t>
  </si>
  <si>
    <t>G1, X9</t>
  </si>
  <si>
    <t>Pilot stable for 4 days</t>
  </si>
  <si>
    <t>P2</t>
  </si>
  <si>
    <t>Go / no-go decision and production cutover</t>
  </si>
  <si>
    <t>Production live</t>
  </si>
  <si>
    <t>Flags</t>
  </si>
  <si>
    <t>Done — finished (100%)</t>
  </si>
  <si>
    <t>Check — status and % do not match</t>
  </si>
  <si>
    <t>Late — end date passed, not 100%</t>
  </si>
  <si>
    <t>Blocked — see Notes / blockers</t>
  </si>
  <si>
    <t>Yellow — update in the meeting</t>
  </si>
  <si>
    <t>MedVoice v3.4 — Checklist per subtask</t>
  </si>
  <si>
    <t>Mark each item Yes only when the evidence exists. The Checklist % on the Tracker updates automatically. Filter by Owner or Task to run your own list.</t>
  </si>
  <si>
    <t>Items done</t>
  </si>
  <si>
    <t>Completion</t>
  </si>
  <si>
    <t>Task ID</t>
  </si>
  <si>
    <t>Task</t>
  </si>
  <si>
    <t>Subtask ID</t>
  </si>
  <si>
    <t>Subtask</t>
  </si>
  <si>
    <t>#</t>
  </si>
  <si>
    <t>Check item</t>
  </si>
  <si>
    <t>Evidence to show</t>
  </si>
  <si>
    <t>Done?</t>
  </si>
  <si>
    <t>Checked by</t>
  </si>
  <si>
    <t>Date</t>
  </si>
  <si>
    <t>Comment</t>
  </si>
  <si>
    <t>Request submitted with scope, de-identification method and access list</t>
  </si>
  <si>
    <t>Request reference</t>
  </si>
  <si>
    <t>No</t>
  </si>
  <si>
    <t>Conditions of use recorded</t>
  </si>
  <si>
    <t>Approval letter</t>
  </si>
  <si>
    <t>Approval shared with AI team</t>
  </si>
  <si>
    <t>Email / Teams message</t>
  </si>
  <si>
    <t>ICD-10 file exported from HIS coding system</t>
  </si>
  <si>
    <t>codes.csv</t>
  </si>
  <si>
    <t>Edition and version stated (e.g. ICD-10-AM)</t>
  </si>
  <si>
    <t>File header / note</t>
  </si>
  <si>
    <t>File received by Mohamed</t>
  </si>
  <si>
    <t>Message confirming receipt</t>
  </si>
  <si>
    <t>Foundry region approved for patient text</t>
  </si>
  <si>
    <t>Written decision</t>
  </si>
  <si>
    <t>Continued use of Munsit and Voxtral APIs approved</t>
  </si>
  <si>
    <t>Conditions shared with AI team</t>
  </si>
  <si>
    <t>Email</t>
  </si>
  <si>
    <t>Acceptance thresholds reviewed (design 14.3)</t>
  </si>
  <si>
    <t>Signed sheet</t>
  </si>
  <si>
    <t>Pilot site and doctors named</t>
  </si>
  <si>
    <t>List of names</t>
  </si>
  <si>
    <t>Signed by steering</t>
  </si>
  <si>
    <t>Signature / minutes</t>
  </si>
  <si>
    <t>Shared async client + 45 s timeout, no hidden retries</t>
  </si>
  <si>
    <t>One AsyncOpenAI client created at startup (lifespan)</t>
  </si>
  <si>
    <t>Code: no client created per request</t>
  </si>
  <si>
    <t>Timeout 45 s, max_retries=0 set</t>
  </si>
  <si>
    <t>Config / code</t>
  </si>
  <si>
    <t>Unit tests pass</t>
  </si>
  <si>
    <t>CI run</t>
  </si>
  <si>
    <t>Async streaming for refine / translate</t>
  </si>
  <si>
    <t>Streaming uses async for on an async stream</t>
  </si>
  <si>
    <t>Code diff</t>
  </si>
  <si>
    <t>No blocking loop inside async generator</t>
  </si>
  <si>
    <t>Code review note</t>
  </si>
  <si>
    <t>Backoff + jitter on 429/5xx; remove key rotation</t>
  </si>
  <si>
    <t>Retry only on 429, 5xx, timeouts; honours Retry-After</t>
  </si>
  <si>
    <t>Code + test</t>
  </si>
  <si>
    <t>Max 4 attempts with jitter</t>
  </si>
  <si>
    <t>Config</t>
  </si>
  <si>
    <t>Key rotation on 429 removed</t>
  </si>
  <si>
    <t>Per-model concurrency limits (semaphores)</t>
  </si>
  <si>
    <t>Semaphore per model; limit in config</t>
  </si>
  <si>
    <t>Config file</t>
  </si>
  <si>
    <t>Limit sized with Little’s law</t>
  </si>
  <si>
    <t>Calculation note</t>
  </si>
  <si>
    <t>Test: 30 parallel analyses</t>
  </si>
  <si>
    <t>30 parallel analyses complete</t>
  </si>
  <si>
    <t>Test output</t>
  </si>
  <si>
    <t>Mocked 429s retried ≤ 3 times each</t>
  </si>
  <si>
    <t>Test log</t>
  </si>
  <si>
    <t>Event-loop lag &lt; 50 ms</t>
  </si>
  <si>
    <t>Measurement</t>
  </si>
  <si>
    <t>Key Vault; move all secrets</t>
  </si>
  <si>
    <t>Key Vault created; access via RBAC</t>
  </si>
  <si>
    <t>Azure portal</t>
  </si>
  <si>
    <t>All secrets moved; none in code or env files</t>
  </si>
  <si>
    <t>Repo scan</t>
  </si>
  <si>
    <t>Managed identities + RBAC</t>
  </si>
  <si>
    <t>User-assigned managed identity created and attached to app</t>
  </si>
  <si>
    <t>Roles granted (Key Vault Secrets User, Foundry user)</t>
  </si>
  <si>
    <t>Role assignments</t>
  </si>
  <si>
    <t>Private endpoints + DNS (Foundry, Key Vault)</t>
  </si>
  <si>
    <t>Private endpoints for Foundry and Key Vault</t>
  </si>
  <si>
    <t>Private DNS resolves to private IP from app subnet</t>
  </si>
  <si>
    <t>nslookup output</t>
  </si>
  <si>
    <t>Public network access disabled</t>
  </si>
  <si>
    <t>Resource settings</t>
  </si>
  <si>
    <t>App Insights, no patient text in logs</t>
  </si>
  <si>
    <t>App Insights connected (OpenTelemetry)</t>
  </si>
  <si>
    <t>Traces visible</t>
  </si>
  <si>
    <t>No transcript or note text in logs</t>
  </si>
  <si>
    <t>Log sample check</t>
  </si>
  <si>
    <t>Structure each final transcript segment with running context</t>
  </si>
  <si>
    <t>Each final transcript segment structured with running context</t>
  </si>
  <si>
    <t>Demo / log</t>
  </si>
  <si>
    <t>Speaker labels preserved per segment</t>
  </si>
  <si>
    <t>Sample output</t>
  </si>
  <si>
    <t>Consolidation pass when dictation stops</t>
  </si>
  <si>
    <t>Consolidation runs on stop</t>
  </si>
  <si>
    <t>Code + demo</t>
  </si>
  <si>
    <t>Final note ready ≤ 3 s after stop</t>
  </si>
  <si>
    <t>Timing log</t>
  </si>
  <si>
    <t>Compare with one-shot on 10 transcripts</t>
  </si>
  <si>
    <t>10 transcripts compared with one-shot</t>
  </si>
  <si>
    <t>Comparison sheet</t>
  </si>
  <si>
    <t>No omissions or added detail vs one-shot</t>
  </si>
  <si>
    <t>Reviewer note</t>
  </si>
  <si>
    <t>Trigger rules as a pure function</t>
  </si>
  <si>
    <t>Triggers implemented as a pure function</t>
  </si>
  <si>
    <t>Code</t>
  </si>
  <si>
    <t>Each trigger has a unit test</t>
  </si>
  <si>
    <t>Terra default; one escalation to Sol</t>
  </si>
  <si>
    <t>Terra is default for every encounter</t>
  </si>
  <si>
    <t>One escalation to Sol on validation failure; never more</t>
  </si>
  <si>
    <t>Test</t>
  </si>
  <si>
    <t>Audit record + unit tests</t>
  </si>
  <si>
    <t>Audit record per routing decision (signals, tier, reason)</t>
  </si>
  <si>
    <t>Log sample</t>
  </si>
  <si>
    <t>Tests pass</t>
  </si>
  <si>
    <t>CI pipeline: lint, test, build, push</t>
  </si>
  <si>
    <t>Pipeline: lint → tests → build → push to registry</t>
  </si>
  <si>
    <t>Pipeline run</t>
  </si>
  <si>
    <t>Pipeline green on main</t>
  </si>
  <si>
    <t>Screenshot</t>
  </si>
  <si>
    <t>Staging environment</t>
  </si>
  <si>
    <t>Staging created from same configuration as production</t>
  </si>
  <si>
    <t>Resource list</t>
  </si>
  <si>
    <t>Staging reachable only on private network</t>
  </si>
  <si>
    <t>Access test</t>
  </si>
  <si>
    <t>Smoke test + approval gate to production</t>
  </si>
  <si>
    <t>Smoke test /health after deploy</t>
  </si>
  <si>
    <t>Pipeline log</t>
  </si>
  <si>
    <t>Manual approval required for production</t>
  </si>
  <si>
    <t>Pipeline setting</t>
  </si>
  <si>
    <t>Deploy GPT-4o mini, Luna, Terra, Sol, DeepSeek V3</t>
  </si>
  <si>
    <t>GPT-4o mini, GPT-5.6 Luna, Terra, Sol, DeepSeek V3 deployed in approved region</t>
  </si>
  <si>
    <t>Foundry deployments list</t>
  </si>
  <si>
    <t>Record quotas; add to config</t>
  </si>
  <si>
    <t>Quotas (TPM/RPM) recorded per model</t>
  </si>
  <si>
    <t>Quota table</t>
  </si>
  <si>
    <t>Deployment names in config</t>
  </si>
  <si>
    <t>Strict-JSON smoke test; content-filter check</t>
  </si>
  <si>
    <t>Each model returns valid strict JSON</t>
  </si>
  <si>
    <t>Smoke-test output</t>
  </si>
  <si>
    <t>Content filter does not block 20 clinical samples</t>
  </si>
  <si>
    <t>Locust session script (audio stream + SSE)</t>
  </si>
  <si>
    <t>Locust script streams audio in real time</t>
  </si>
  <si>
    <t>Script in repo</t>
  </si>
  <si>
    <t>Script reads SSE until done</t>
  </si>
  <si>
    <t>Demo run</t>
  </si>
  <si>
    <t>Export timings per session</t>
  </si>
  <si>
    <t>Timings exported per session (first partial, final, first SSE, total)</t>
  </si>
  <si>
    <t>CSV sample</t>
  </si>
  <si>
    <t>Health and readiness probes</t>
  </si>
  <si>
    <t>/health and /ready per dependency</t>
  </si>
  <si>
    <t>Endpoint responses</t>
  </si>
  <si>
    <t>/ready returns 503 when a dependency is down</t>
  </si>
  <si>
    <t>Circuit breaker per provider</t>
  </si>
  <si>
    <t>Circuit breaker per provider (5 failures / 30 s)</t>
  </si>
  <si>
    <t>Half-open probe recovers automatically</t>
  </si>
  <si>
    <t>Model fallbacks (4o mini ↔ Luna, Terra → Sol)</t>
  </si>
  <si>
    <t>Extraction fallback GPT-4o mini ↔ Luna works</t>
  </si>
  <si>
    <t>Reasoning fallback Terra → Sol works</t>
  </si>
  <si>
    <t>Admission control (503 + Retry-After)</t>
  </si>
  <si>
    <t>Max active sessions per replica in config</t>
  </si>
  <si>
    <t>Overload returns 503 + Retry-After</t>
  </si>
  <si>
    <t>Load-test log</t>
  </si>
  <si>
    <t>Ramp 1 → 50 sessions per language</t>
  </si>
  <si>
    <t>Ramp 1 → 5 → 10 → 20 → 50 per language completed</t>
  </si>
  <si>
    <t>Locust report</t>
  </si>
  <si>
    <t>p50 / p95 / 429 rate recorded per step</t>
  </si>
  <si>
    <t>Report table</t>
  </si>
  <si>
    <t>Accuracy check at peak (20 encounters)</t>
  </si>
  <si>
    <t>20 gold encounters replayed at peak</t>
  </si>
  <si>
    <t>Run log</t>
  </si>
  <si>
    <t>Accuracy loss &lt; 2 points vs low load</t>
  </si>
  <si>
    <t>Comparison</t>
  </si>
  <si>
    <t>Tune limits; capacity report</t>
  </si>
  <si>
    <t>Limits tuned</t>
  </si>
  <si>
    <t>Config diff</t>
  </si>
  <si>
    <t>Capacity report signed</t>
  </si>
  <si>
    <t>Report</t>
  </si>
  <si>
    <t>Structured-note JSON schema</t>
  </si>
  <si>
    <t>JSON schema: sections, speaker, confidence, segment IDs, routing signals</t>
  </si>
  <si>
    <t>Schema file</t>
  </si>
  <si>
    <t>Clinical Lead reviewed schema</t>
  </si>
  <si>
    <t>Approval</t>
  </si>
  <si>
    <t>Prompt: no-inference + translation rules</t>
  </si>
  <si>
    <t>No-inference rule in prompt (never add, infer, sharpen)</t>
  </si>
  <si>
    <t>Prompt file</t>
  </si>
  <si>
    <t>Arabic/mixed → English translation rule</t>
  </si>
  <si>
    <t>Arabic / mixed few-shot examples</t>
  </si>
  <si>
    <t>6–8 few-shot examples incl. negation and laterality</t>
  </si>
  <si>
    <t>20 fidelity tests</t>
  </si>
  <si>
    <t>20 fidelity tests written</t>
  </si>
  <si>
    <t>Test file</t>
  </si>
  <si>
    <t>All 20 pass</t>
  </si>
  <si>
    <t>Keep term correction before structuring</t>
  </si>
  <si>
    <t>Term correction runs before structuring</t>
  </si>
  <si>
    <t>Code / pipeline order</t>
  </si>
  <si>
    <t>Red-flag lexicon file + routing signal</t>
  </si>
  <si>
    <t>Red-flag lexicon file committed (Arabic + English)</t>
  </si>
  <si>
    <t>File in repo</t>
  </si>
  <si>
    <t>red_flags emitted in routing signals</t>
  </si>
  <si>
    <t>Reasoning output schema</t>
  </si>
  <si>
    <t>Schema: ICD-10 + evidence, diagnosis, rationale, triage, gaps, plan review, history flags</t>
  </si>
  <si>
    <t>ICD-10 edition rules per country</t>
  </si>
  <si>
    <t>ICD-10 edition set per country in config</t>
  </si>
  <si>
    <t>Prompt names the edition</t>
  </si>
  <si>
    <t>History-scope + citation rules</t>
  </si>
  <si>
    <t>History informs only ICD-10, diagnosis, rationale</t>
  </si>
  <si>
    <t>Prompt + test</t>
  </si>
  <si>
    <t>Every output item cites a note sentence</t>
  </si>
  <si>
    <t>15 clinical test cases</t>
  </si>
  <si>
    <t>15 test cases incl. history conflict and red flags</t>
  </si>
  <si>
    <t>Clinician reviewed results</t>
  </si>
  <si>
    <t>Review note</t>
  </si>
  <si>
    <t>Remove ICD-10, diagnosis, history from prompts</t>
  </si>
  <si>
    <t>ICD-10, diagnosis and history fields removed from extraction prompts</t>
  </si>
  <si>
    <t>Prompt diff</t>
  </si>
  <si>
    <t>Strict schemas: ER, OPD, Dental</t>
  </si>
  <si>
    <t>Strict schemas for ER, OPD, Dental</t>
  </si>
  <si>
    <t>Schema files</t>
  </si>
  <si>
    <t>Allowed values enforced (e.g. Dental consent)</t>
  </si>
  <si>
    <t>Schema</t>
  </si>
  <si>
    <t>Schema-validity tests (20 notes per department)</t>
  </si>
  <si>
    <t>20 notes per department tested</t>
  </si>
  <si>
    <t>History sent to reasoning only (existing SQL)</t>
  </si>
  <si>
    <t>History sent only to reasoning, never to extraction</t>
  </si>
  <si>
    <t>Existing SQL source reused</t>
  </si>
  <si>
    <t>Voice-fill through structuring</t>
  </si>
  <si>
    <t>Voice-fill answer passes term correction + structuring</t>
  </si>
  <si>
    <t>Demo</t>
  </si>
  <si>
    <t>Works in Arabic and English</t>
  </si>
  <si>
    <t>Consent line in Conversation Mode</t>
  </si>
  <si>
    <t>Consent line still plays once in Conversation Mode</t>
  </si>
  <si>
    <t>Run current product on gold set; export results</t>
  </si>
  <si>
    <t>Current product run on all 100 gold transcripts</t>
  </si>
  <si>
    <t>baseline.jsonl</t>
  </si>
  <si>
    <t>Message</t>
  </si>
  <si>
    <t>Structuring fidelity on gold set</t>
  </si>
  <si>
    <t>Structuring fidelity measured (omissions, additions, negation, laterality)</t>
  </si>
  <si>
    <t>Results sheet</t>
  </si>
  <si>
    <t>Extraction: GPT-4o mini vs Luna</t>
  </si>
  <si>
    <t>Field accuracy per department: GPT-4o mini vs Luna</t>
  </si>
  <si>
    <t>Winner and fallback chosen</t>
  </si>
  <si>
    <t>Decision memo</t>
  </si>
  <si>
    <t>Reasoning results, escalation share, decision memo</t>
  </si>
  <si>
    <t>Terra results and escalation share recorded</t>
  </si>
  <si>
    <t>Decision memo approved by architect</t>
  </si>
  <si>
    <t>Run new pipeline on gold set; export results</t>
  </si>
  <si>
    <t>New pipeline run on all 100 gold transcripts</t>
  </si>
  <si>
    <t>new_pipeline.jsonl</t>
  </si>
  <si>
    <t>Fix failed cases (prompts, triggers, lexicon)</t>
  </si>
  <si>
    <t>Failed cases fixed (prompts, triggers, lexicon)</t>
  </si>
  <si>
    <t>Change log</t>
  </si>
  <si>
    <t>Re-run affected encounters</t>
  </si>
  <si>
    <t>Affected encounters re-run</t>
  </si>
  <si>
    <t>Score summary</t>
  </si>
  <si>
    <t>API Management instance with VNet</t>
  </si>
  <si>
    <t>API Management created with VNet support</t>
  </si>
  <si>
    <t>Reachable only from private network</t>
  </si>
  <si>
    <t>Policies: Entra ID, rate limits</t>
  </si>
  <si>
    <t>validate-jwt (Entra ID) policy active</t>
  </si>
  <si>
    <t>Policy file + test</t>
  </si>
  <si>
    <t>Rate-limit policy active</t>
  </si>
  <si>
    <t>429 test</t>
  </si>
  <si>
    <t>Foundry backends; logging without bodies</t>
  </si>
  <si>
    <t>Backends for each Foundry model use managed identity</t>
  </si>
  <si>
    <t>Policy / backend config</t>
  </si>
  <si>
    <t>Logs exclude request bodies</t>
  </si>
  <si>
    <t>Provider interfaces (LLM, STT)</t>
  </si>
  <si>
    <t>LLMProvider and STTProvider interfaces in code</t>
  </si>
  <si>
    <t>Config switch OpenRouter → Foundry</t>
  </si>
  <si>
    <t>Switch OpenRouter → Foundry by config only</t>
  </si>
  <si>
    <t>Config + demo</t>
  </si>
  <si>
    <t>Tests pass after switch</t>
  </si>
  <si>
    <t>Sample 100 sessions; de-identify; package</t>
  </si>
  <si>
    <t>100 sessions sampled: 70% Arabic/mixed, all departments, both modes</t>
  </si>
  <si>
    <t>Sampling sheet</t>
  </si>
  <si>
    <t>Names, IDs, dates, phones removed</t>
  </si>
  <si>
    <t>De-identification check</t>
  </si>
  <si>
    <t>Package delivered to reviewers</t>
  </si>
  <si>
    <t>Storage link</t>
  </si>
  <si>
    <t>ICD-10 code lookup from HIS master</t>
  </si>
  <si>
    <t>ICD-10 code master loaded as lookup</t>
  </si>
  <si>
    <t>Code + data file</t>
  </si>
  <si>
    <t>Invalid code rejected</t>
  </si>
  <si>
    <t>Pydantic output schemas</t>
  </si>
  <si>
    <t>Pydantic schemas for extraction and reasoning outputs</t>
  </si>
  <si>
    <t>Invalid output rejected with reason</t>
  </si>
  <si>
    <t>Consistency rules (laterality, evidence)</t>
  </si>
  <si>
    <t>Laterality mismatch flagged</t>
  </si>
  <si>
    <t>Diagnosis without evidence flagged</t>
  </si>
  <si>
    <t>History cross-check + missing-field checklist</t>
  </si>
  <si>
    <t>History cross-check reused and working</t>
  </si>
  <si>
    <t>Missing-field checklist generated deterministically</t>
  </si>
  <si>
    <t>Rule tests</t>
  </si>
  <si>
    <t>Unit test per validation rule</t>
  </si>
  <si>
    <t>Entra ID on dashboard and admin</t>
  </si>
  <si>
    <t>Dashboard and admin require Entra sign-in</t>
  </si>
  <si>
    <t>401 test without login</t>
  </si>
  <si>
    <t>Admin role enforced</t>
  </si>
  <si>
    <t>Role test</t>
  </si>
  <si>
    <t>Remove transcripts from logs</t>
  </si>
  <si>
    <t>Transcripts and notes no longer written to JSONL or logs</t>
  </si>
  <si>
    <t>Log / file check</t>
  </si>
  <si>
    <t>Run extraction ∥ reasoning with timeouts</t>
  </si>
  <si>
    <t>Extraction and reasoning run in parallel (TaskGroup)</t>
  </si>
  <si>
    <t>Code + timing log</t>
  </si>
  <si>
    <t>Per-branch timeout set</t>
  </si>
  <si>
    <t>Merge → validation → escalation</t>
  </si>
  <si>
    <t>Merge → validation → one escalation</t>
  </si>
  <si>
    <t>Merged output passes schema</t>
  </si>
  <si>
    <t>SSE events to the UI</t>
  </si>
  <si>
    <t>SSE events: structured, fields, reasoning, cautions, done</t>
  </si>
  <si>
    <t>Event log</t>
  </si>
  <si>
    <t>Progressive rendering</t>
  </si>
  <si>
    <t>Fields render first; reasoning appears when ready</t>
  </si>
  <si>
    <t>Citation click-through</t>
  </si>
  <si>
    <t>Each ICD-10 / diagnosis item links to its note sentence</t>
  </si>
  <si>
    <t>Caution banners + re-run reasoning</t>
  </si>
  <si>
    <t>Caution banners next to affected fields</t>
  </si>
  <si>
    <t>Re-run reasoning button works</t>
  </si>
  <si>
    <t>Speaker confirmation + Arabic RTL check</t>
  </si>
  <si>
    <t>Low-confidence speaker labels can be confirmed</t>
  </si>
  <si>
    <t>Arabic text renders right-to-left</t>
  </si>
  <si>
    <t>30 regression scenarios</t>
  </si>
  <si>
    <t>30 scenarios executed (department × mode × language)</t>
  </si>
  <si>
    <t>Regression sheet</t>
  </si>
  <si>
    <t>Results compared with current product</t>
  </si>
  <si>
    <t>Sheet</t>
  </si>
  <si>
    <t>Defect triage and retest</t>
  </si>
  <si>
    <t>All defects triaged; no open S1/S2</t>
  </si>
  <si>
    <t>Defect list</t>
  </si>
  <si>
    <t>Fix high / medium findings</t>
  </si>
  <si>
    <t>All high and medium pen-test findings fixed</t>
  </si>
  <si>
    <t>Fix list</t>
  </si>
  <si>
    <t>Retest with security team</t>
  </si>
  <si>
    <t>Security team retest passed</t>
  </si>
  <si>
    <t>Retest report</t>
  </si>
  <si>
    <t>Arabic and English red-flag terms reviewed</t>
  </si>
  <si>
    <t>Reviewed lexicon file</t>
  </si>
  <si>
    <t>False triggers removed</t>
  </si>
  <si>
    <t>Clinical Lead approval</t>
  </si>
  <si>
    <t>100 encounters annotated: fields, ICD-10, diagnosis</t>
  </si>
  <si>
    <t>gold.jsonl (100 records)</t>
  </si>
  <si>
    <t>10% second-reviewer spot check done</t>
  </si>
  <si>
    <t>Spot-check log</t>
  </si>
  <si>
    <t>Gold set frozen and versioned</t>
  </si>
  <si>
    <t>File version / hash</t>
  </si>
  <si>
    <t>All baseline outputs scored with rubric</t>
  </si>
  <si>
    <t>Score sheet (100 rows)</t>
  </si>
  <si>
    <t>Scores shared with Doha</t>
  </si>
  <si>
    <t>File link</t>
  </si>
  <si>
    <t>Gateway, app, dashboard and endpoints tested on staging</t>
  </si>
  <si>
    <t>Test scope</t>
  </si>
  <si>
    <t>OWASP API Top 10 covered</t>
  </si>
  <si>
    <t>Findings report with severities delivered</t>
  </si>
  <si>
    <t>All new-pipeline outputs scored with same rubric</t>
  </si>
  <si>
    <t>Comparison with baseline produced</t>
  </si>
  <si>
    <t>Summary table</t>
  </si>
  <si>
    <t>One-page quick guide ready</t>
  </si>
  <si>
    <t>PDF guide</t>
  </si>
  <si>
    <t>Session held per department</t>
  </si>
  <si>
    <t>Attendance list</t>
  </si>
  <si>
    <t>15 UAT scenarios executed (ER/OPD/Dental, both languages, both modes)</t>
  </si>
  <si>
    <t>UAT sheet</t>
  </si>
  <si>
    <t>Issues logged and triaged</t>
  </si>
  <si>
    <t>Issue list</t>
  </si>
  <si>
    <t>UAT signed off</t>
  </si>
  <si>
    <t>Signature</t>
  </si>
  <si>
    <t>Accuracy criteria met (fields ≥ baseline; diagnosis, ICD-10, gaps &gt; baseline)</t>
  </si>
  <si>
    <t>Load, security, UAT and residency criteria met</t>
  </si>
  <si>
    <t>Reports</t>
  </si>
  <si>
    <t>Go / no-go decision recorded</t>
  </si>
  <si>
    <t>Minutes</t>
  </si>
  <si>
    <t>Pilot doctors enabled; rollback tested</t>
  </si>
  <si>
    <t>Feature-flag screenshot</t>
  </si>
  <si>
    <t>Daily review held (accept/edit/reject, latency, errors)</t>
  </si>
  <si>
    <t>Daily notes</t>
  </si>
  <si>
    <t>No open critical issue after 4 days</t>
  </si>
  <si>
    <t>Go / no-go meeting held</t>
  </si>
  <si>
    <t>Production switched on; rollback on standby</t>
  </si>
  <si>
    <t>Feature flag + monitoring screenshot</t>
  </si>
  <si>
    <t>Done</t>
  </si>
  <si>
    <t xml:space="preserve">    ICD-10 edition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</si>
</sst>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\ dd\-mmm\-yy"/>
    <numFmt numFmtId="165" formatCode="\+0&quot; days&quot;;\-0&quot; days&quot;;&quot;on plan&quot;"/>
    <numFmt numFmtId="166" formatCode="dd\-mmm"/>
    <numFmt numFmtId="167" formatCode=";;;"/>
    <numFmt numFmtId="168" formatCode="dd\-mmm\-yy"/>
  </numFmts>
  <fonts count="27" x14ac:knownFonts="1">
    <font>
      <sz val="11"/>
      <color theme="1"/>
      <name val="Calibri"/>
      <family val="2"/>
      <charset val="1"/>
    </font>
    <font>
      <b/>
      <sz val="18"/>
      <color rgb="FF1F3864"/>
      <name val="Calibri"/>
      <charset val="1"/>
    </font>
    <font>
      <i/>
      <sz val="10"/>
      <color rgb="FF595959"/>
      <name val="Calibri"/>
      <charset val="1"/>
    </font>
    <font>
      <b/>
      <sz val="10"/>
      <name val="Calibri"/>
      <charset val="1"/>
    </font>
    <font>
      <b/>
      <sz val="10"/>
      <color rgb="FF0000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1F3864"/>
      <name val="Calibri"/>
      <charset val="1"/>
    </font>
    <font>
      <i/>
      <sz val="9"/>
      <color rgb="FF595959"/>
      <name val="Calibri"/>
      <charset val="1"/>
    </font>
    <font>
      <sz val="8"/>
      <color rgb="FF808080"/>
      <name val="Calibri"/>
      <charset val="1"/>
    </font>
    <font>
      <b/>
      <sz val="10"/>
      <color rgb="FF000000"/>
      <name val="Calibri"/>
      <charset val="1"/>
    </font>
    <font>
      <sz val="10"/>
      <color rgb="FF808080"/>
      <name val="Calibri"/>
      <charset val="1"/>
    </font>
    <font>
      <sz val="10"/>
      <color rgb="FF000000"/>
      <name val="Calibri"/>
      <charset val="1"/>
    </font>
    <font>
      <sz val="10"/>
      <color rgb="FF2E74B5"/>
      <name val="Calibri"/>
      <charset val="1"/>
    </font>
    <font>
      <sz val="9.5"/>
      <color rgb="FF000000"/>
      <name val="Calibri"/>
      <charset val="1"/>
    </font>
    <font>
      <sz val="9.5"/>
      <color rgb="FF808080"/>
      <name val="Calibri"/>
      <charset val="1"/>
    </font>
    <font>
      <sz val="9.5"/>
      <color rgb="FF0000FF"/>
      <name val="Calibri"/>
      <charset val="1"/>
    </font>
    <font>
      <sz val="10"/>
      <color rgb="FF7030A0"/>
      <name val="Calibri"/>
      <charset val="1"/>
    </font>
    <font>
      <sz val="10"/>
      <color rgb="FF548235"/>
      <name val="Calibri"/>
      <charset val="1"/>
    </font>
    <font>
      <sz val="10"/>
      <name val="Arial"/>
      <family val="2"/>
    </font>
    <font>
      <b/>
      <sz val="12"/>
      <color rgb="FF375623"/>
      <name val="Calibri"/>
      <charset val="1"/>
    </font>
    <font>
      <b/>
      <sz val="9.5"/>
      <color rgb="FF000000"/>
      <name val="Calibri"/>
      <charset val="1"/>
    </font>
    <font>
      <b/>
      <sz val="9.5"/>
      <color rgb="FF0000FF"/>
      <name val="Calibri"/>
      <charset val="1"/>
    </font>
    <font>
      <sz val="9.5"/>
      <color rgb="FF2E74B5"/>
      <name val="Calibri"/>
      <charset val="1"/>
    </font>
    <font>
      <sz val="9.5"/>
      <color rgb="FF7030A0"/>
      <name val="Calibri"/>
      <charset val="1"/>
    </font>
    <font>
      <sz val="9.5"/>
      <color rgb="FF548235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2E74B5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339966"/>
      </patternFill>
    </fill>
    <fill>
      <patternFill patternType="solid">
        <fgColor rgb="FF808080"/>
        <bgColor rgb="FF548235"/>
      </patternFill>
    </fill>
    <fill>
      <patternFill patternType="solid">
        <fgColor rgb="FFDCE6F1"/>
        <bgColor rgb="FFE2EFDA"/>
      </patternFill>
    </fill>
    <fill>
      <patternFill patternType="solid">
        <fgColor rgb="FFC55A11"/>
        <bgColor rgb="FFED7D31"/>
      </patternFill>
    </fill>
    <fill>
      <patternFill patternType="solid">
        <fgColor rgb="FFD9D9D9"/>
        <bgColor rgb="FFD9CCE8"/>
      </patternFill>
    </fill>
    <fill>
      <patternFill patternType="solid">
        <fgColor rgb="FFBDD7EE"/>
        <bgColor rgb="FFD9D9D9"/>
      </patternFill>
    </fill>
    <fill>
      <patternFill patternType="solid">
        <fgColor rgb="FFD9CCE8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A9D08E"/>
        <bgColor rgb="FFC6E0B4"/>
      </patternFill>
    </fill>
    <fill>
      <patternFill patternType="solid">
        <fgColor rgb="FFFFC000"/>
        <bgColor rgb="FFFF9900"/>
      </patternFill>
    </fill>
    <fill>
      <patternFill patternType="solid">
        <fgColor rgb="FFFF7C80"/>
        <bgColor rgb="FFED7D31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6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2" borderId="0" xfId="0" applyFill="1"/>
    <xf numFmtId="164" fontId="4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5" borderId="1" xfId="0" applyFont="1" applyFill="1" applyBorder="1"/>
    <xf numFmtId="164" fontId="0" fillId="0" borderId="0" xfId="0" applyNumberFormat="1" applyAlignment="1">
      <alignment horizontal="center" vertical="center" wrapText="1"/>
    </xf>
    <xf numFmtId="0" fontId="5" fillId="6" borderId="1" xfId="0" applyFont="1" applyFill="1" applyBorder="1"/>
    <xf numFmtId="164" fontId="7" fillId="0" borderId="0" xfId="0" applyNumberFormat="1" applyFont="1" applyAlignment="1">
      <alignment horizontal="center" vertical="center" wrapText="1"/>
    </xf>
    <xf numFmtId="0" fontId="5" fillId="7" borderId="1" xfId="0" applyFont="1" applyFill="1" applyBorder="1"/>
    <xf numFmtId="165" fontId="3" fillId="0" borderId="0" xfId="0" applyNumberFormat="1" applyFont="1" applyAlignment="1">
      <alignment horizontal="center" vertical="center" wrapText="1"/>
    </xf>
    <xf numFmtId="0" fontId="8" fillId="8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0" xfId="0" applyFont="1"/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6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9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167" fontId="0" fillId="0" borderId="1" xfId="0" applyNumberFormat="1" applyBorder="1"/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vertical="center" wrapText="1"/>
    </xf>
    <xf numFmtId="166" fontId="13" fillId="11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center" wrapText="1"/>
    </xf>
    <xf numFmtId="9" fontId="11" fillId="11" borderId="1" xfId="0" applyNumberFormat="1" applyFont="1" applyFill="1" applyBorder="1" applyAlignment="1">
      <alignment horizontal="center" vertical="center" wrapText="1"/>
    </xf>
    <xf numFmtId="9" fontId="13" fillId="11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9" fontId="17" fillId="3" borderId="1" xfId="0" applyNumberFormat="1" applyFont="1" applyFill="1" applyBorder="1" applyAlignment="1">
      <alignment horizontal="center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vertical="center" wrapText="1"/>
    </xf>
    <xf numFmtId="166" fontId="13" fillId="12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vertical="center" wrapText="1"/>
    </xf>
    <xf numFmtId="9" fontId="11" fillId="12" borderId="1" xfId="0" applyNumberFormat="1" applyFont="1" applyFill="1" applyBorder="1" applyAlignment="1">
      <alignment horizontal="center" vertical="center" wrapText="1"/>
    </xf>
    <xf numFmtId="9" fontId="13" fillId="12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0" fontId="19" fillId="13" borderId="1" xfId="0" applyFont="1" applyFill="1" applyBorder="1" applyAlignment="1">
      <alignment vertical="center" wrapText="1"/>
    </xf>
    <xf numFmtId="166" fontId="13" fillId="13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vertical="center" wrapText="1"/>
    </xf>
    <xf numFmtId="9" fontId="11" fillId="13" borderId="1" xfId="0" applyNumberFormat="1" applyFont="1" applyFill="1" applyBorder="1" applyAlignment="1">
      <alignment horizontal="center" vertical="center" wrapText="1"/>
    </xf>
    <xf numFmtId="9" fontId="13" fillId="13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3" borderId="1" xfId="0" applyFill="1" applyBorder="1"/>
    <xf numFmtId="0" fontId="3" fillId="0" borderId="0" xfId="0" applyFont="1"/>
    <xf numFmtId="9" fontId="21" fillId="0" borderId="0" xfId="0" applyNumberFormat="1" applyFont="1"/>
    <xf numFmtId="0" fontId="16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168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8" fontId="15" fillId="3" borderId="1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19">
    <dxf>
      <font>
        <strike/>
        <color rgb="FF808080"/>
        <name val="Calibri"/>
        <charset val="1"/>
      </font>
    </dxf>
    <dxf>
      <font>
        <b/>
        <name val="Calibri"/>
        <charset val="1"/>
      </font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ont>
        <b/>
        <color rgb="FF000000"/>
        <name val="Calibri"/>
        <charset val="1"/>
      </font>
      <fill>
        <patternFill>
          <bgColor rgb="FFFFC000"/>
        </patternFill>
      </fill>
    </dxf>
    <dxf>
      <font>
        <b/>
        <color rgb="FFFFFFFF"/>
        <name val="Calibri"/>
        <charset val="1"/>
      </font>
      <fill>
        <patternFill>
          <bgColor rgb="FFC00000"/>
        </patternFill>
      </fill>
    </dxf>
    <dxf>
      <font>
        <b/>
        <color rgb="FFFFFFFF"/>
        <name val="Calibri"/>
        <charset val="1"/>
      </font>
      <fill>
        <patternFill>
          <bgColor rgb="FFFF7C80"/>
        </patternFill>
      </fill>
    </dxf>
    <dxf>
      <font>
        <b/>
        <color rgb="FF000000"/>
        <name val="Calibri"/>
        <charset val="1"/>
      </font>
      <fill>
        <patternFill>
          <bgColor rgb="FFA9D08E"/>
        </patternFill>
      </fill>
    </dxf>
    <dxf>
      <fill>
        <patternFill>
          <bgColor rgb="FFED7D31"/>
        </patternFill>
      </fill>
    </dxf>
    <dxf>
      <fill>
        <patternFill>
          <bgColor rgb="FFD9D9D9"/>
        </patternFill>
      </fill>
    </dxf>
    <dxf>
      <fill>
        <patternFill>
          <bgColor rgb="FF808080"/>
        </patternFill>
      </fill>
    </dxf>
    <dxf>
      <fill>
        <patternFill>
          <bgColor rgb="FFC6E0B4"/>
        </patternFill>
      </fill>
    </dxf>
    <dxf>
      <fill>
        <patternFill>
          <bgColor rgb="FF548235"/>
        </patternFill>
      </fill>
    </dxf>
    <dxf>
      <fill>
        <patternFill>
          <bgColor rgb="FFD9CCE8"/>
        </patternFill>
      </fill>
    </dxf>
    <dxf>
      <fill>
        <patternFill>
          <bgColor rgb="FF7030A0"/>
        </patternFill>
      </fill>
    </dxf>
    <dxf>
      <fill>
        <patternFill>
          <bgColor rgb="FFBDD7EE"/>
        </patternFill>
      </fill>
    </dxf>
    <dxf>
      <fill>
        <patternFill>
          <bgColor rgb="FF2E74B5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CE6F1"/>
      <rgbColor rgb="FF660066"/>
      <rgbColor rgb="FFFF7C80"/>
      <rgbColor rgb="FF0066CC"/>
      <rgbColor rgb="FFD9C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C6E0B4"/>
      <rgbColor rgb="FFBDD7EE"/>
      <rgbColor rgb="FFFF99CC"/>
      <rgbColor rgb="FFCC99FF"/>
      <rgbColor rgb="FFF8CBAD"/>
      <rgbColor rgb="FF2E74B5"/>
      <rgbColor rgb="FF33CCCC"/>
      <rgbColor rgb="FF99CC00"/>
      <rgbColor rgb="FFFFC000"/>
      <rgbColor rgb="FFFF9900"/>
      <rgbColor rgb="FFED7D31"/>
      <rgbColor rgb="FF595959"/>
      <rgbColor rgb="FFA9D08E"/>
      <rgbColor rgb="FF1F3864"/>
      <rgbColor rgb="FF339966"/>
      <rgbColor rgb="FF003300"/>
      <rgbColor rgb="FF333300"/>
      <rgbColor rgb="FFC55A11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44"/>
  <sheetViews>
    <sheetView showGridLines="0" tabSelected="1" zoomScaleNormal="10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M27" sqref="M27"/>
    </sheetView>
  </sheetViews>
  <sheetFormatPr defaultColWidth="8.7109375" defaultRowHeight="15" x14ac:dyDescent="0.25"/>
  <cols>
    <col min="1" max="1" width="7.85546875" bestFit="1" customWidth="1"/>
    <col min="2" max="2" width="52.5703125" bestFit="1" customWidth="1"/>
    <col min="3" max="3" width="14.42578125" bestFit="1" customWidth="1"/>
    <col min="4" max="4" width="10.7109375" bestFit="1" customWidth="1"/>
    <col min="5" max="5" width="10.140625" bestFit="1" customWidth="1"/>
    <col min="6" max="6" width="10" bestFit="1" customWidth="1"/>
    <col min="7" max="7" width="9" bestFit="1" customWidth="1"/>
    <col min="8" max="8" width="16" customWidth="1"/>
    <col min="9" max="9" width="33.140625" bestFit="1" customWidth="1"/>
    <col min="10" max="10" width="11.140625" bestFit="1" customWidth="1"/>
    <col min="11" max="11" width="11.85546875" bestFit="1" customWidth="1"/>
    <col min="12" max="12" width="13.140625" bestFit="1" customWidth="1"/>
    <col min="13" max="13" width="9.5703125" bestFit="1" customWidth="1"/>
    <col min="14" max="14" width="21.28515625" bestFit="1" customWidth="1"/>
    <col min="15" max="15" width="1.5703125" customWidth="1"/>
    <col min="16" max="19" width="5.42578125" bestFit="1" customWidth="1"/>
    <col min="20" max="21" width="5.7109375" bestFit="1" customWidth="1"/>
    <col min="22" max="22" width="1" customWidth="1"/>
    <col min="23" max="24" width="3.28515625" bestFit="1" customWidth="1"/>
    <col min="25" max="25" width="5.5703125" bestFit="1" customWidth="1"/>
    <col min="26" max="26" width="4" bestFit="1" customWidth="1"/>
    <col min="27" max="27" width="16" bestFit="1" customWidth="1"/>
    <col min="28" max="28" width="5.5703125" bestFit="1" customWidth="1"/>
    <col min="29" max="30" width="4.42578125" bestFit="1" customWidth="1"/>
    <col min="31" max="31" width="4" bestFit="1" customWidth="1"/>
    <col min="32" max="34" width="3.28515625" bestFit="1" customWidth="1"/>
    <col min="35" max="35" width="4.42578125" bestFit="1" customWidth="1"/>
    <col min="36" max="36" width="13" hidden="1" customWidth="1"/>
  </cols>
  <sheetData>
    <row r="1" spans="1:29" ht="23.2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29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29" ht="3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5" spans="1:29" x14ac:dyDescent="0.25">
      <c r="A5" s="5" t="s">
        <v>2</v>
      </c>
      <c r="B5" s="5"/>
      <c r="C5" s="9">
        <v>46299</v>
      </c>
      <c r="H5" s="10" t="s">
        <v>3</v>
      </c>
      <c r="I5" s="10" t="s">
        <v>4</v>
      </c>
      <c r="J5" s="10" t="s">
        <v>5</v>
      </c>
      <c r="K5" s="10" t="s">
        <v>6</v>
      </c>
      <c r="L5" s="10" t="s">
        <v>7</v>
      </c>
      <c r="M5" s="10" t="s">
        <v>8</v>
      </c>
      <c r="N5" s="10" t="s">
        <v>9</v>
      </c>
    </row>
    <row r="6" spans="1:29" x14ac:dyDescent="0.25">
      <c r="A6" s="5" t="s">
        <v>10</v>
      </c>
      <c r="B6" s="5"/>
      <c r="C6" s="9">
        <v>46299</v>
      </c>
      <c r="H6" s="11" t="s">
        <v>11</v>
      </c>
      <c r="I6" s="12">
        <f>SUMPRODUCT(($AA$14:$AA$400="Ahmed Hamdy")*($Z$14:$Z$400="S")*$D$14:$D$400)</f>
        <v>86</v>
      </c>
      <c r="J6" s="13">
        <f>IFERROR(SUMPRODUCT(($AA$14:$AA$400="Ahmed Hamdy")*($Z$14:$Z$400="T")*$Y$14:$Y$400*IF($C$7&lt;$W$14:$W$400,0,IF($C$7&gt;=$X$14:$X$400,1,($C$7-$W$14:$W$400+1)/$Y$14:$Y$400)))/SUMPRODUCT(($AA$14:$AA$400="Ahmed Hamdy")*($Z$14:$Z$400="T")*$Y$14:$Y$400),0)</f>
        <v>0</v>
      </c>
      <c r="K6" s="13">
        <f>IFERROR(SUMPRODUCT(($AA$14:$AA$400="Ahmed Hamdy")*($Z$14:$Z$400="T")*$Y$14:$Y$400*$K$14:$K$400)/SUMPRODUCT(($AA$14:$AA$400="Ahmed Hamdy")*($Z$14:$Z$400="T")*$Y$14:$Y$400),0)</f>
        <v>0.13259259259259257</v>
      </c>
      <c r="L6" s="12">
        <f>SUMPRODUCT(($AA$14:$AA$400="Ahmed Hamdy")*($Z$14:$Z$400="T")*($J$14:$J$400="Blocked"))</f>
        <v>0</v>
      </c>
      <c r="M6" s="12">
        <f>SUMPRODUCT(($AA$14:$AA$400="Ahmed Hamdy")*($Z$14:$Z$400="T")*($M$14:$M$400="Late"))</f>
        <v>0</v>
      </c>
      <c r="N6" s="12">
        <f>SUMPRODUCT(($AA$14:$AA$400="Ahmed Hamdy")*($M$14:$M$400="Check"))</f>
        <v>7</v>
      </c>
    </row>
    <row r="7" spans="1:29" x14ac:dyDescent="0.25">
      <c r="A7" s="5" t="s">
        <v>12</v>
      </c>
      <c r="B7" s="5"/>
      <c r="C7" s="14">
        <f>MAX(0,INT((C6-C5)/7)*5+MIN(MOD(C6-C5,7),4)+1)</f>
        <v>1</v>
      </c>
      <c r="H7" s="15" t="s">
        <v>13</v>
      </c>
      <c r="I7" s="12">
        <f>SUMPRODUCT(($AA$14:$AA$400="Doha")*($Z$14:$Z$400="S")*$D$14:$D$400)</f>
        <v>89</v>
      </c>
      <c r="J7" s="13">
        <f>IFERROR(SUMPRODUCT(($AA$14:$AA$400="Doha")*($Z$14:$Z$400="T")*$Y$14:$Y$400*IF($C$7&lt;$W$14:$W$400,0,IF($C$7&gt;=$X$14:$X$400,1,($C$7-$W$14:$W$400+1)/$Y$14:$Y$400)))/SUMPRODUCT(($AA$14:$AA$400="Doha")*($Z$14:$Z$400="T")*$Y$14:$Y$400),0)</f>
        <v>0</v>
      </c>
      <c r="K7" s="13">
        <f>IFERROR(SUMPRODUCT(($AA$14:$AA$400="Doha")*($Z$14:$Z$400="T")*$Y$14:$Y$400*$K$14:$K$400)/SUMPRODUCT(($AA$14:$AA$400="Doha")*($Z$14:$Z$400="T")*$Y$14:$Y$400),0)</f>
        <v>0.23396825396825396</v>
      </c>
      <c r="L7" s="12">
        <f>SUMPRODUCT(($AA$14:$AA$400="Doha")*($Z$14:$Z$400="T")*($J$14:$J$400="Blocked"))</f>
        <v>0</v>
      </c>
      <c r="M7" s="12">
        <f>SUMPRODUCT(($AA$14:$AA$400="Doha")*($Z$14:$Z$400="T")*($M$14:$M$400="Late"))</f>
        <v>0</v>
      </c>
      <c r="N7" s="12">
        <f>SUMPRODUCT(($AA$14:$AA$400="Doha")*($M$14:$M$400="Check"))</f>
        <v>0</v>
      </c>
    </row>
    <row r="8" spans="1:29" x14ac:dyDescent="0.25">
      <c r="A8" s="5" t="s">
        <v>14</v>
      </c>
      <c r="B8" s="5"/>
      <c r="C8" s="16">
        <v>46338</v>
      </c>
      <c r="H8" s="17" t="s">
        <v>15</v>
      </c>
      <c r="I8" s="12">
        <f>SUMPRODUCT(($AA$14:$AA$400="Mohamed Essam")*($Z$14:$Z$400="S")*$D$14:$D$400)</f>
        <v>102</v>
      </c>
      <c r="J8" s="13">
        <f>IFERROR(SUMPRODUCT(($AA$14:$AA$400="Mohamed Essam")*($Z$14:$Z$400="T")*$Y$14:$Y$400*IF($C$7&lt;$W$14:$W$400,0,IF($C$7&gt;=$X$14:$X$400,1,($C$7-$W$14:$W$400+1)/$Y$14:$Y$400)))/SUMPRODUCT(($AA$14:$AA$400="Mohamed Essam")*($Z$14:$Z$400="T")*$Y$14:$Y$400),0)</f>
        <v>0</v>
      </c>
      <c r="K8" s="13">
        <f>IFERROR(SUMPRODUCT(($AA$14:$AA$400="Mohamed Essam")*($Z$14:$Z$400="T")*$Y$14:$Y$400*$K$14:$K$400)/SUMPRODUCT(($AA$14:$AA$400="Mohamed Essam")*($Z$14:$Z$400="T")*$Y$14:$Y$400),0)</f>
        <v>0</v>
      </c>
      <c r="L8" s="12">
        <f>SUMPRODUCT(($AA$14:$AA$400="Mohamed Essam")*($Z$14:$Z$400="T")*($J$14:$J$400="Blocked"))</f>
        <v>0</v>
      </c>
      <c r="M8" s="12">
        <f>SUMPRODUCT(($AA$14:$AA$400="Mohamed Essam")*($Z$14:$Z$400="T")*($M$14:$M$400="Late"))</f>
        <v>0</v>
      </c>
      <c r="N8" s="12">
        <f>SUMPRODUCT(($AA$14:$AA$400="Mohamed Essam")*($M$14:$M$400="Check"))</f>
        <v>5</v>
      </c>
    </row>
    <row r="9" spans="1:29" x14ac:dyDescent="0.25">
      <c r="A9" s="5" t="s">
        <v>16</v>
      </c>
      <c r="B9" s="5"/>
      <c r="C9" s="18">
        <f>$C$5+INT((INDEX($X:$X,MATCH("P2",$A:$A,0))-1)/5)*7+MOD(INDEX($X:$X,MATCH("P2",$A:$A,0))-1,5)</f>
        <v>46334</v>
      </c>
      <c r="H9" s="19" t="s">
        <v>17</v>
      </c>
      <c r="I9" s="12" t="s">
        <v>18</v>
      </c>
      <c r="J9" s="13">
        <f>IFERROR(SUMPRODUCT(($AA$14:$AA$400="Ext")*($Z$14:$Z$400="T")*$Y$14:$Y$400*IF($C$7&lt;$W$14:$W$400,0,IF($C$7&gt;=$X$14:$X$400,1,($C$7-$W$14:$W$400+1)/$Y$14:$Y$400)))/SUMPRODUCT(($AA$14:$AA$400="Ext")*($Z$14:$Z$400="T")*$Y$14:$Y$400),0)</f>
        <v>0</v>
      </c>
      <c r="K9" s="13">
        <f>IFERROR(SUMPRODUCT(($AA$14:$AA$400="Ext")*($Z$14:$Z$400="T")*$Y$14:$Y$400*$K$14:$K$400)/SUMPRODUCT(($AA$14:$AA$400="Ext")*($Z$14:$Z$400="T")*$Y$14:$Y$400),0)</f>
        <v>0.15476190476190477</v>
      </c>
      <c r="L9" s="12">
        <f>SUMPRODUCT(($AA$14:$AA$400="Ext")*($Z$14:$Z$400="T")*($J$14:$J$400="Blocked"))</f>
        <v>0</v>
      </c>
      <c r="M9" s="12">
        <f>SUMPRODUCT(($AA$14:$AA$400="Ext")*($Z$14:$Z$400="T")*($M$14:$M$400="Late"))</f>
        <v>0</v>
      </c>
      <c r="N9" s="12">
        <f>SUMPRODUCT(($AA$14:$AA$400="Ext")*($M$14:$M$400="Check"))</f>
        <v>1</v>
      </c>
    </row>
    <row r="10" spans="1:29" x14ac:dyDescent="0.25">
      <c r="A10" s="5" t="s">
        <v>19</v>
      </c>
      <c r="B10" s="5"/>
      <c r="C10" s="20">
        <f>NETWORKDAYS.INTL(C9,C8,7)-1</f>
        <v>4</v>
      </c>
      <c r="H10" s="21" t="s">
        <v>20</v>
      </c>
      <c r="I10" s="22">
        <f>SUMPRODUCT(($Z$14:$Z$400="S")*$D$14:$D$400)</f>
        <v>277</v>
      </c>
      <c r="J10" s="23">
        <f>IFERROR(SUMPRODUCT(($Z$14:$Z$400="T")*$Y$14:$Y$400*IF($C$7&lt;$W$14:$W$400,0,IF($C$7&gt;=$X$14:$X$400,1,($C$7-$W$14:$W$400+1)/$Y$14:$Y$400)))/SUMPRODUCT(($Z$14:$Z$400="T")*$Y$14:$Y$400),0)</f>
        <v>0</v>
      </c>
      <c r="K10" s="23">
        <f>IFERROR(SUMPRODUCT(($Z$14:$Z$400="T")*$Y$14:$Y$400*$K$14:$K$400)/SUMPRODUCT(($Z$14:$Z$400="T")*$Y$14:$Y$400),0)</f>
        <v>0.13634559884559885</v>
      </c>
      <c r="L10" s="22">
        <f>SUMPRODUCT(($Z$14:$Z$400="T")*($J$14:$J$400="Blocked"))</f>
        <v>0</v>
      </c>
      <c r="M10" s="22">
        <f>SUMPRODUCT(($Z$14:$Z$400="T")*($M$14:$M$400="Late"))</f>
        <v>0</v>
      </c>
      <c r="N10" s="22">
        <f>SUMPRODUCT(($M$14:$M$400="Check"))</f>
        <v>0</v>
      </c>
    </row>
    <row r="11" spans="1:29" x14ac:dyDescent="0.25">
      <c r="H11" s="4" t="s">
        <v>21</v>
      </c>
      <c r="I11" s="4"/>
      <c r="J11" s="4"/>
      <c r="K11" s="4"/>
      <c r="L11" s="4"/>
      <c r="M11" s="4"/>
      <c r="N11" s="4"/>
    </row>
    <row r="12" spans="1:29" x14ac:dyDescent="0.25">
      <c r="P12" s="24">
        <f>$C$5+0</f>
        <v>46299</v>
      </c>
      <c r="Q12" s="24">
        <f>$C$5+7</f>
        <v>46306</v>
      </c>
      <c r="R12" s="24">
        <f>$C$5+14</f>
        <v>46313</v>
      </c>
      <c r="S12" s="24">
        <f>$C$5+21</f>
        <v>46320</v>
      </c>
      <c r="T12" s="24">
        <f>$C$5+28</f>
        <v>46327</v>
      </c>
      <c r="U12" s="24">
        <f>$C$5+35</f>
        <v>46334</v>
      </c>
    </row>
    <row r="13" spans="1:29" s="96" customFormat="1" x14ac:dyDescent="0.25">
      <c r="A13" s="10" t="s">
        <v>22</v>
      </c>
      <c r="B13" s="10" t="s">
        <v>23</v>
      </c>
      <c r="C13" s="10" t="s">
        <v>24</v>
      </c>
      <c r="D13" s="10" t="s">
        <v>4</v>
      </c>
      <c r="E13" s="10" t="s">
        <v>25</v>
      </c>
      <c r="F13" s="10" t="s">
        <v>26</v>
      </c>
      <c r="G13" s="10" t="s">
        <v>27</v>
      </c>
      <c r="H13" s="10" t="s">
        <v>28</v>
      </c>
      <c r="I13" s="10" t="s">
        <v>29</v>
      </c>
      <c r="J13" s="25" t="s">
        <v>30</v>
      </c>
      <c r="K13" s="25" t="s">
        <v>31</v>
      </c>
      <c r="L13" s="10" t="s">
        <v>32</v>
      </c>
      <c r="M13" s="10" t="s">
        <v>33</v>
      </c>
      <c r="N13" s="25" t="s">
        <v>34</v>
      </c>
      <c r="P13" s="10" t="s">
        <v>35</v>
      </c>
      <c r="Q13" s="10" t="s">
        <v>36</v>
      </c>
      <c r="R13" s="10" t="s">
        <v>37</v>
      </c>
      <c r="S13" s="10" t="s">
        <v>38</v>
      </c>
      <c r="T13" s="10" t="s">
        <v>39</v>
      </c>
      <c r="U13" s="10" t="s">
        <v>40</v>
      </c>
      <c r="W13" s="97" t="s">
        <v>41</v>
      </c>
      <c r="X13" s="97" t="s">
        <v>42</v>
      </c>
      <c r="Y13" s="97" t="s">
        <v>43</v>
      </c>
      <c r="Z13" s="97" t="s">
        <v>44</v>
      </c>
      <c r="AA13" s="97" t="s">
        <v>45</v>
      </c>
      <c r="AB13" s="97" t="s">
        <v>46</v>
      </c>
      <c r="AC13" s="97" t="s">
        <v>47</v>
      </c>
    </row>
    <row r="14" spans="1:29" x14ac:dyDescent="0.25">
      <c r="A14" s="3" t="s">
        <v>48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P14" s="8"/>
      <c r="Q14" s="8"/>
      <c r="R14" s="8"/>
      <c r="S14" s="8"/>
      <c r="T14" s="8"/>
      <c r="U14" s="8"/>
    </row>
    <row r="15" spans="1:29" x14ac:dyDescent="0.25">
      <c r="A15" s="27" t="s">
        <v>49</v>
      </c>
      <c r="B15" s="28" t="s">
        <v>50</v>
      </c>
      <c r="C15" s="29" t="s">
        <v>51</v>
      </c>
      <c r="D15" s="30">
        <v>1</v>
      </c>
      <c r="E15" s="31">
        <v>5</v>
      </c>
      <c r="F15" s="32">
        <f t="shared" ref="F15:G18" si="0">$C$5+INT((W15-1)/5)*7+MOD(W15-1,5)</f>
        <v>46299</v>
      </c>
      <c r="G15" s="32">
        <f t="shared" si="0"/>
        <v>46303</v>
      </c>
      <c r="H15" s="33" t="s">
        <v>18</v>
      </c>
      <c r="I15" s="33" t="s">
        <v>52</v>
      </c>
      <c r="J15" s="31" t="s">
        <v>53</v>
      </c>
      <c r="K15" s="34">
        <v>0.5</v>
      </c>
      <c r="L15" s="35">
        <f>IFERROR(COUNTIFS(Checklist!$D:$D,"X1",Checklist!$I:$I,"Yes")/COUNTIF(Checklist!$D:$D,"X1"),0)</f>
        <v>0</v>
      </c>
      <c r="M15" s="36" t="str">
        <f>IF(AND(J15="Done",K15&lt;1),"Check",IF(AND(J15="In progress",K15=0),"Check",IF(AND(K15&gt;=1,J15&lt;&gt;"Done"),"Check",IF(J15="Done","Done",IF(J15="Blocked","Blocked",IF(AND($C$7&gt;X15,K15&lt;1),"Late",""))))))</f>
        <v/>
      </c>
      <c r="N15" s="37" t="s">
        <v>54</v>
      </c>
      <c r="P15" s="38">
        <f>IF(AND(W15&lt;=5,X15&gt;=1),1,"")</f>
        <v>1</v>
      </c>
      <c r="Q15" s="38" t="str">
        <f>IF(AND(W15&lt;=10,X15&gt;=6),1,"")</f>
        <v/>
      </c>
      <c r="R15" s="38" t="str">
        <f>IF(AND(W15&lt;=15,X15&gt;=11),1,"")</f>
        <v/>
      </c>
      <c r="S15" s="38" t="str">
        <f>IF(AND(W15&lt;=20,X15&gt;=16),1,"")</f>
        <v/>
      </c>
      <c r="T15" s="38" t="str">
        <f>IF(AND(W15&lt;=25,X15&gt;=21),1,"")</f>
        <v/>
      </c>
      <c r="U15" s="38" t="str">
        <f>IF(AND(W15&lt;=30,X15&gt;=26),1,"")</f>
        <v/>
      </c>
      <c r="W15" s="26">
        <f>MAX(IFERROR(INDEX($X$14:$X$400,MATCH(AC15,$A$14:$A$400,0)),0),IFERROR(INDEX($X$14:$X$400,MATCH(AD15,$A$14:$A$400,0)),0),IFERROR(INDEX($X$14:$X$400,MATCH(AE15,$A$14:$A$400,0)),0),IFERROR(INDEX($X$14:$X$400,MATCH(AF15,$A$14:$A$400,0)),0),IFERROR(INDEX($X$14:$X$400,MATCH(AG15,$A$14:$A$400,0)),0),IFERROR(INDEX($X$14:$X$400,MATCH(AH15,$A$14:$A$400,0)),0),IFERROR(INDEX($X$14:$X$400,MATCH(AI15,$A$14:$A$400,0)),0),IFERROR(INDEX($X$14:$X$400,MATCH(AB15,$A$14:$A$400,0)),0))+1</f>
        <v>1</v>
      </c>
      <c r="X15" s="26">
        <f>W15+Y15-1</f>
        <v>5</v>
      </c>
      <c r="Y15" s="26">
        <f>E15</f>
        <v>5</v>
      </c>
      <c r="Z15" s="26" t="s">
        <v>55</v>
      </c>
      <c r="AA15" s="26" t="s">
        <v>56</v>
      </c>
    </row>
    <row r="16" spans="1:29" x14ac:dyDescent="0.25">
      <c r="A16" s="27" t="s">
        <v>57</v>
      </c>
      <c r="B16" s="28" t="s">
        <v>58</v>
      </c>
      <c r="C16" s="29" t="s">
        <v>59</v>
      </c>
      <c r="D16" s="30">
        <v>1</v>
      </c>
      <c r="E16" s="31">
        <v>3</v>
      </c>
      <c r="F16" s="32">
        <f t="shared" si="0"/>
        <v>46299</v>
      </c>
      <c r="G16" s="32">
        <f t="shared" si="0"/>
        <v>46301</v>
      </c>
      <c r="H16" s="33" t="s">
        <v>18</v>
      </c>
      <c r="I16" s="33" t="s">
        <v>60</v>
      </c>
      <c r="J16" s="31" t="s">
        <v>53</v>
      </c>
      <c r="K16" s="34">
        <v>0.5</v>
      </c>
      <c r="L16" s="35">
        <f>IFERROR(COUNTIFS(Checklist!$D:$D,"X2",Checklist!$I:$I,"Yes")/COUNTIF(Checklist!$D:$D,"X2"),0)</f>
        <v>0</v>
      </c>
      <c r="M16" s="36" t="str">
        <f>IF(AND(J16="Done",K16&lt;1),"Check",IF(AND(J16="In progress",K16=0),"Check",IF(AND(K16&gt;=1,J16&lt;&gt;"Done"),"Check",IF(J16="Done","Done",IF(J16="Blocked","Blocked",IF(AND($C$7&gt;X16,K16&lt;1),"Late",""))))))</f>
        <v/>
      </c>
      <c r="N16" s="37" t="s">
        <v>54</v>
      </c>
      <c r="P16" s="38">
        <f>IF(AND(W16&lt;=5,X16&gt;=1),1,"")</f>
        <v>1</v>
      </c>
      <c r="Q16" s="38" t="str">
        <f>IF(AND(W16&lt;=10,X16&gt;=6),1,"")</f>
        <v/>
      </c>
      <c r="R16" s="38" t="str">
        <f>IF(AND(W16&lt;=15,X16&gt;=11),1,"")</f>
        <v/>
      </c>
      <c r="S16" s="38" t="str">
        <f>IF(AND(W16&lt;=20,X16&gt;=16),1,"")</f>
        <v/>
      </c>
      <c r="T16" s="38" t="str">
        <f>IF(AND(W16&lt;=25,X16&gt;=21),1,"")</f>
        <v/>
      </c>
      <c r="U16" s="38" t="str">
        <f>IF(AND(W16&lt;=30,X16&gt;=26),1,"")</f>
        <v/>
      </c>
      <c r="W16" s="26">
        <f>MAX(IFERROR(INDEX($X$14:$X$400,MATCH(AC16,$A$14:$A$400,0)),0),IFERROR(INDEX($X$14:$X$400,MATCH(AD16,$A$14:$A$400,0)),0),IFERROR(INDEX($X$14:$X$400,MATCH(AE16,$A$14:$A$400,0)),0),IFERROR(INDEX($X$14:$X$400,MATCH(AF16,$A$14:$A$400,0)),0),IFERROR(INDEX($X$14:$X$400,MATCH(AG16,$A$14:$A$400,0)),0),IFERROR(INDEX($X$14:$X$400,MATCH(AH16,$A$14:$A$400,0)),0),IFERROR(INDEX($X$14:$X$400,MATCH(AI16,$A$14:$A$400,0)),0),IFERROR(INDEX($X$14:$X$400,MATCH(AB16,$A$14:$A$400,0)),0))+1</f>
        <v>1</v>
      </c>
      <c r="X16" s="26">
        <f>W16+Y16-1</f>
        <v>3</v>
      </c>
      <c r="Y16" s="26">
        <f>E16</f>
        <v>3</v>
      </c>
      <c r="Z16" s="26" t="s">
        <v>55</v>
      </c>
      <c r="AA16" s="26" t="s">
        <v>56</v>
      </c>
    </row>
    <row r="17" spans="1:29" ht="25.5" x14ac:dyDescent="0.25">
      <c r="A17" s="27" t="s">
        <v>61</v>
      </c>
      <c r="B17" s="28" t="s">
        <v>62</v>
      </c>
      <c r="C17" s="29" t="s">
        <v>51</v>
      </c>
      <c r="D17" s="30">
        <v>1</v>
      </c>
      <c r="E17" s="31">
        <v>5</v>
      </c>
      <c r="F17" s="32">
        <f t="shared" si="0"/>
        <v>46299</v>
      </c>
      <c r="G17" s="32">
        <f t="shared" si="0"/>
        <v>46303</v>
      </c>
      <c r="H17" s="33" t="s">
        <v>18</v>
      </c>
      <c r="I17" s="33" t="s">
        <v>63</v>
      </c>
      <c r="J17" s="31" t="s">
        <v>53</v>
      </c>
      <c r="K17" s="34">
        <v>0.5</v>
      </c>
      <c r="L17" s="35">
        <f>IFERROR(COUNTIFS(Checklist!$D:$D,"X3",Checklist!$I:$I,"Yes")/COUNTIF(Checklist!$D:$D,"X3"),0)</f>
        <v>0</v>
      </c>
      <c r="M17" s="36" t="str">
        <f>IF(AND(J17="Done",K17&lt;1),"Check",IF(AND(J17="In progress",K17=0),"Check",IF(AND(K17&gt;=1,J17&lt;&gt;"Done"),"Check",IF(J17="Done","Done",IF(J17="Blocked","Blocked",IF(AND($C$7&gt;X17,K17&lt;1),"Late",""))))))</f>
        <v/>
      </c>
      <c r="N17" s="37" t="s">
        <v>54</v>
      </c>
      <c r="P17" s="38">
        <f>IF(AND(W17&lt;=5,X17&gt;=1),1,"")</f>
        <v>1</v>
      </c>
      <c r="Q17" s="38" t="str">
        <f>IF(AND(W17&lt;=10,X17&gt;=6),1,"")</f>
        <v/>
      </c>
      <c r="R17" s="38" t="str">
        <f>IF(AND(W17&lt;=15,X17&gt;=11),1,"")</f>
        <v/>
      </c>
      <c r="S17" s="38" t="str">
        <f>IF(AND(W17&lt;=20,X17&gt;=16),1,"")</f>
        <v/>
      </c>
      <c r="T17" s="38" t="str">
        <f>IF(AND(W17&lt;=25,X17&gt;=21),1,"")</f>
        <v/>
      </c>
      <c r="U17" s="38" t="str">
        <f>IF(AND(W17&lt;=30,X17&gt;=26),1,"")</f>
        <v/>
      </c>
      <c r="W17" s="26">
        <f>MAX(IFERROR(INDEX($X$14:$X$400,MATCH(AC17,$A$14:$A$400,0)),0),IFERROR(INDEX($X$14:$X$400,MATCH(AD17,$A$14:$A$400,0)),0),IFERROR(INDEX($X$14:$X$400,MATCH(AE17,$A$14:$A$400,0)),0),IFERROR(INDEX($X$14:$X$400,MATCH(AF17,$A$14:$A$400,0)),0),IFERROR(INDEX($X$14:$X$400,MATCH(AG17,$A$14:$A$400,0)),0),IFERROR(INDEX($X$14:$X$400,MATCH(AH17,$A$14:$A$400,0)),0),IFERROR(INDEX($X$14:$X$400,MATCH(AI17,$A$14:$A$400,0)),0),IFERROR(INDEX($X$14:$X$400,MATCH(AB17,$A$14:$A$400,0)),0))+1</f>
        <v>1</v>
      </c>
      <c r="X17" s="26">
        <f>W17+Y17-1</f>
        <v>5</v>
      </c>
      <c r="Y17" s="26">
        <f>E17</f>
        <v>5</v>
      </c>
      <c r="Z17" s="26" t="s">
        <v>55</v>
      </c>
      <c r="AA17" s="26" t="s">
        <v>56</v>
      </c>
    </row>
    <row r="18" spans="1:29" x14ac:dyDescent="0.25">
      <c r="A18" s="27" t="s">
        <v>64</v>
      </c>
      <c r="B18" s="28" t="s">
        <v>65</v>
      </c>
      <c r="C18" s="29" t="s">
        <v>66</v>
      </c>
      <c r="D18" s="30">
        <v>1</v>
      </c>
      <c r="E18" s="31">
        <v>2</v>
      </c>
      <c r="F18" s="32">
        <f t="shared" si="0"/>
        <v>46299</v>
      </c>
      <c r="G18" s="32">
        <f t="shared" si="0"/>
        <v>46300</v>
      </c>
      <c r="H18" s="33" t="s">
        <v>18</v>
      </c>
      <c r="I18" s="33" t="s">
        <v>67</v>
      </c>
      <c r="J18" s="31" t="s">
        <v>53</v>
      </c>
      <c r="K18" s="34">
        <v>0</v>
      </c>
      <c r="L18" s="35">
        <f>IFERROR(COUNTIFS(Checklist!$D:$D,"X4",Checklist!$I:$I,"Yes")/COUNTIF(Checklist!$D:$D,"X4"),0)</f>
        <v>0</v>
      </c>
      <c r="M18" s="36" t="str">
        <f>IF(AND(J18="Done",K18&lt;1),"Check",IF(AND(J18="In progress",K18=0),"Check",IF(AND(K18&gt;=1,J18&lt;&gt;"Done"),"Check",IF(J18="Done","Done",IF(J18="Blocked","Blocked",IF(AND($C$7&gt;X18,K18&lt;1),"Late",""))))))</f>
        <v>Check</v>
      </c>
      <c r="N18" s="37" t="s">
        <v>68</v>
      </c>
      <c r="P18" s="38">
        <f>IF(AND(W18&lt;=5,X18&gt;=1),1,"")</f>
        <v>1</v>
      </c>
      <c r="Q18" s="38" t="str">
        <f>IF(AND(W18&lt;=10,X18&gt;=6),1,"")</f>
        <v/>
      </c>
      <c r="R18" s="38" t="str">
        <f>IF(AND(W18&lt;=15,X18&gt;=11),1,"")</f>
        <v/>
      </c>
      <c r="S18" s="38" t="str">
        <f>IF(AND(W18&lt;=20,X18&gt;=16),1,"")</f>
        <v/>
      </c>
      <c r="T18" s="38" t="str">
        <f>IF(AND(W18&lt;=25,X18&gt;=21),1,"")</f>
        <v/>
      </c>
      <c r="U18" s="38" t="str">
        <f>IF(AND(W18&lt;=30,X18&gt;=26),1,"")</f>
        <v/>
      </c>
      <c r="W18" s="26">
        <f>MAX(IFERROR(INDEX($X$14:$X$400,MATCH(AC18,$A$14:$A$400,0)),0),IFERROR(INDEX($X$14:$X$400,MATCH(AD18,$A$14:$A$400,0)),0),IFERROR(INDEX($X$14:$X$400,MATCH(AE18,$A$14:$A$400,0)),0),IFERROR(INDEX($X$14:$X$400,MATCH(AF18,$A$14:$A$400,0)),0),IFERROR(INDEX($X$14:$X$400,MATCH(AG18,$A$14:$A$400,0)),0),IFERROR(INDEX($X$14:$X$400,MATCH(AH18,$A$14:$A$400,0)),0),IFERROR(INDEX($X$14:$X$400,MATCH(AI18,$A$14:$A$400,0)),0),IFERROR(INDEX($X$14:$X$400,MATCH(AB18,$A$14:$A$400,0)),0))+1</f>
        <v>1</v>
      </c>
      <c r="X18" s="26">
        <f>W18+Y18-1</f>
        <v>2</v>
      </c>
      <c r="Y18" s="26">
        <f>E18</f>
        <v>2</v>
      </c>
      <c r="Z18" s="26" t="s">
        <v>55</v>
      </c>
      <c r="AA18" s="26" t="s">
        <v>56</v>
      </c>
    </row>
    <row r="19" spans="1:29" x14ac:dyDescent="0.25">
      <c r="A19" s="3" t="s">
        <v>69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P19" s="8"/>
      <c r="Q19" s="8"/>
      <c r="R19" s="8"/>
      <c r="S19" s="8"/>
      <c r="T19" s="8"/>
      <c r="U19" s="8"/>
    </row>
    <row r="20" spans="1:29" ht="25.5" x14ac:dyDescent="0.25">
      <c r="A20" s="39" t="s">
        <v>70</v>
      </c>
      <c r="B20" s="40" t="s">
        <v>71</v>
      </c>
      <c r="C20" s="41" t="s">
        <v>11</v>
      </c>
      <c r="D20" s="39">
        <f>SUM(D21:D25)</f>
        <v>9</v>
      </c>
      <c r="E20" s="39">
        <f>ROUNDUP(D20/8,0)</f>
        <v>2</v>
      </c>
      <c r="F20" s="42">
        <f t="shared" ref="F20:F58" si="1">$C$5+INT((W20-1)/5)*7+MOD(W20-1,5)</f>
        <v>46299</v>
      </c>
      <c r="G20" s="42">
        <f t="shared" ref="G20:G58" si="2">$C$5+INT((X20-1)/5)*7+MOD(X20-1,5)</f>
        <v>46300</v>
      </c>
      <c r="H20" s="43" t="s">
        <v>18</v>
      </c>
      <c r="I20" s="43" t="s">
        <v>72</v>
      </c>
      <c r="J20" s="39" t="str">
        <f>IF(K20&gt;=1,"Done",IF(COUNTIF(J21:J25,"Blocked")&gt;0,"Blocked",IF(OR(K20&gt;0,COUNTIF(J21:J25,"In progress")&gt;0),"In progress","Not started")))</f>
        <v>In progress</v>
      </c>
      <c r="K20" s="44">
        <f>IFERROR(SUMPRODUCT(D21:D25,K21:K25)/D20,0)</f>
        <v>0.99444444444444435</v>
      </c>
      <c r="L20" s="45">
        <f>IFERROR(SUMPRODUCT(D21:D25,L21:L25)/D20,0)</f>
        <v>0</v>
      </c>
      <c r="M20" s="46" t="str">
        <f>IF(J20="Done","Done",IF(J20="Blocked","Blocked",IF(AND($C$7&gt;X20,K20&lt;1),"Late","")))</f>
        <v/>
      </c>
      <c r="N20" s="43" t="str">
        <f>IF(COUNTIF(J21:J25,"Blocked")&gt;0,"Blocked subtask — see below","")</f>
        <v/>
      </c>
      <c r="P20" s="38">
        <f>IF(AND(W20&lt;=5,X20&gt;=1),1,"")</f>
        <v>1</v>
      </c>
      <c r="Q20" s="38" t="str">
        <f>IF(AND(W20&lt;=10,X20&gt;=6),1,"")</f>
        <v/>
      </c>
      <c r="R20" s="38" t="str">
        <f>IF(AND(W20&lt;=15,X20&gt;=11),1,"")</f>
        <v/>
      </c>
      <c r="S20" s="38" t="str">
        <f>IF(AND(W20&lt;=20,X20&gt;=16),1,"")</f>
        <v/>
      </c>
      <c r="T20" s="38" t="str">
        <f>IF(AND(W20&lt;=25,X20&gt;=21),1,"")</f>
        <v/>
      </c>
      <c r="U20" s="38" t="str">
        <f>IF(AND(W20&lt;=30,X20&gt;=26),1,"")</f>
        <v/>
      </c>
      <c r="W20" s="26">
        <f>MAX(IFERROR(INDEX($X$14:$X$400,MATCH(AC20,$A$14:$A$400,0)),0),IFERROR(INDEX($X$14:$X$400,MATCH(AD20,$A$14:$A$400,0)),0),IFERROR(INDEX($X$14:$X$400,MATCH(AE20,$A$14:$A$400,0)),0),IFERROR(INDEX($X$14:$X$400,MATCH(AF20,$A$14:$A$400,0)),0),IFERROR(INDEX($X$14:$X$400,MATCH(AG20,$A$14:$A$400,0)),0),IFERROR(INDEX($X$14:$X$400,MATCH(AH20,$A$14:$A$400,0)),0),IFERROR(INDEX($X$14:$X$400,MATCH(AI20,$A$14:$A$400,0)),0),IFERROR(INDEX($X$14:$X$400,MATCH(AB20,$A$14:$A$400,0)),0))+1</f>
        <v>1</v>
      </c>
      <c r="X20" s="26">
        <f>W20+Y20-1</f>
        <v>2</v>
      </c>
      <c r="Y20" s="26">
        <f t="shared" ref="Y20:Y58" si="3">E20</f>
        <v>2</v>
      </c>
      <c r="Z20" s="26" t="s">
        <v>55</v>
      </c>
      <c r="AA20" s="26" t="s">
        <v>11</v>
      </c>
    </row>
    <row r="21" spans="1:29" x14ac:dyDescent="0.25">
      <c r="A21" s="47" t="s">
        <v>73</v>
      </c>
      <c r="B21" s="48" t="s">
        <v>74</v>
      </c>
      <c r="C21" s="49" t="s">
        <v>11</v>
      </c>
      <c r="D21" s="50">
        <v>3</v>
      </c>
      <c r="E21" s="47">
        <f>X21-W21+1</f>
        <v>1</v>
      </c>
      <c r="F21" s="51">
        <f t="shared" si="1"/>
        <v>46299</v>
      </c>
      <c r="G21" s="51">
        <f t="shared" si="2"/>
        <v>46299</v>
      </c>
      <c r="H21" s="47"/>
      <c r="I21" s="47"/>
      <c r="J21" s="50" t="s">
        <v>746</v>
      </c>
      <c r="K21" s="52">
        <v>1</v>
      </c>
      <c r="L21" s="53">
        <f>IFERROR(COUNTIFS(Checklist!$D:$D,"A1.1",Checklist!$I:$I,"Yes")/COUNTIF(Checklist!$D:$D,"A1.1"),0)</f>
        <v>0</v>
      </c>
      <c r="M21" s="47" t="str">
        <f>IF(AND(J21="Done",K21&lt;1),"Check",IF(AND(J21="In progress",K21=0),"Check",IF(AND(K21&gt;=1,J21&lt;&gt;"Done"),"Check",IF(J21="Done","Done",IF(J21="Blocked","Blocked",IF(AND($C$7&gt;X21,K21&lt;1),"Late",""))))))</f>
        <v>Done</v>
      </c>
      <c r="N21" s="54"/>
      <c r="P21" s="38">
        <f>IF(AND(W21&lt;=5,X21&gt;=1),2,"")</f>
        <v>2</v>
      </c>
      <c r="Q21" s="38" t="str">
        <f>IF(AND(W21&lt;=10,X21&gt;=6),2,"")</f>
        <v/>
      </c>
      <c r="R21" s="38" t="str">
        <f>IF(AND(W21&lt;=15,X21&gt;=11),2,"")</f>
        <v/>
      </c>
      <c r="S21" s="38" t="str">
        <f>IF(AND(W21&lt;=20,X21&gt;=16),2,"")</f>
        <v/>
      </c>
      <c r="T21" s="38" t="str">
        <f>IF(AND(W21&lt;=25,X21&gt;=21),2,"")</f>
        <v/>
      </c>
      <c r="U21" s="38" t="str">
        <f>IF(AND(W21&lt;=30,X21&gt;=26),2,"")</f>
        <v/>
      </c>
      <c r="W21" s="26">
        <f>$W$20+INT(SUM(D$21:D21)/8-D21/8+0.0001)</f>
        <v>1</v>
      </c>
      <c r="X21" s="26">
        <f>MAX(W21,$W$20+ROUNDUP(SUM(D$21:D21)/8,0)-1)</f>
        <v>1</v>
      </c>
      <c r="Y21" s="26">
        <f t="shared" si="3"/>
        <v>1</v>
      </c>
      <c r="Z21" s="26" t="s">
        <v>75</v>
      </c>
      <c r="AA21" s="26" t="s">
        <v>11</v>
      </c>
    </row>
    <row r="22" spans="1:29" x14ac:dyDescent="0.25">
      <c r="A22" s="47" t="s">
        <v>76</v>
      </c>
      <c r="B22" s="48" t="s">
        <v>77</v>
      </c>
      <c r="C22" s="49" t="s">
        <v>11</v>
      </c>
      <c r="D22" s="50">
        <v>1</v>
      </c>
      <c r="E22" s="47">
        <f>X22-W22+1</f>
        <v>1</v>
      </c>
      <c r="F22" s="51">
        <f t="shared" si="1"/>
        <v>46299</v>
      </c>
      <c r="G22" s="51">
        <f t="shared" si="2"/>
        <v>46299</v>
      </c>
      <c r="H22" s="47"/>
      <c r="I22" s="47"/>
      <c r="J22" s="50" t="s">
        <v>746</v>
      </c>
      <c r="K22" s="52">
        <v>1</v>
      </c>
      <c r="L22" s="53">
        <f>IFERROR(COUNTIFS(Checklist!$D:$D,"A1.2",Checklist!$I:$I,"Yes")/COUNTIF(Checklist!$D:$D,"A1.2"),0)</f>
        <v>0</v>
      </c>
      <c r="M22" s="47" t="str">
        <f>IF(AND(J22="Done",K22&lt;1),"Check",IF(AND(J22="In progress",K22=0),"Check",IF(AND(K22&gt;=1,J22&lt;&gt;"Done"),"Check",IF(J22="Done","Done",IF(J22="Blocked","Blocked",IF(AND($C$7&gt;X22,K22&lt;1),"Late",""))))))</f>
        <v>Done</v>
      </c>
      <c r="N22" s="54"/>
      <c r="P22" s="38">
        <f>IF(AND(W22&lt;=5,X22&gt;=1),2,"")</f>
        <v>2</v>
      </c>
      <c r="Q22" s="38" t="str">
        <f>IF(AND(W22&lt;=10,X22&gt;=6),2,"")</f>
        <v/>
      </c>
      <c r="R22" s="38" t="str">
        <f>IF(AND(W22&lt;=15,X22&gt;=11),2,"")</f>
        <v/>
      </c>
      <c r="S22" s="38" t="str">
        <f>IF(AND(W22&lt;=20,X22&gt;=16),2,"")</f>
        <v/>
      </c>
      <c r="T22" s="38" t="str">
        <f>IF(AND(W22&lt;=25,X22&gt;=21),2,"")</f>
        <v/>
      </c>
      <c r="U22" s="38" t="str">
        <f>IF(AND(W22&lt;=30,X22&gt;=26),2,"")</f>
        <v/>
      </c>
      <c r="W22" s="26">
        <f>$W$20+INT(SUM(D$21:D22)/8-D22/8+0.0001)</f>
        <v>1</v>
      </c>
      <c r="X22" s="26">
        <f>MAX(W22,$W$20+ROUNDUP(SUM(D$21:D22)/8,0)-1)</f>
        <v>1</v>
      </c>
      <c r="Y22" s="26">
        <f t="shared" si="3"/>
        <v>1</v>
      </c>
      <c r="Z22" s="26" t="s">
        <v>75</v>
      </c>
      <c r="AA22" s="26" t="s">
        <v>11</v>
      </c>
    </row>
    <row r="23" spans="1:29" x14ac:dyDescent="0.25">
      <c r="A23" s="47" t="s">
        <v>78</v>
      </c>
      <c r="B23" s="48" t="s">
        <v>79</v>
      </c>
      <c r="C23" s="49" t="s">
        <v>11</v>
      </c>
      <c r="D23" s="50">
        <v>1</v>
      </c>
      <c r="E23" s="47">
        <f>X23-W23+1</f>
        <v>1</v>
      </c>
      <c r="F23" s="51">
        <f t="shared" si="1"/>
        <v>46299</v>
      </c>
      <c r="G23" s="51">
        <f t="shared" si="2"/>
        <v>46299</v>
      </c>
      <c r="H23" s="47"/>
      <c r="I23" s="47"/>
      <c r="J23" s="50" t="s">
        <v>53</v>
      </c>
      <c r="K23" s="52">
        <v>0.95</v>
      </c>
      <c r="L23" s="53">
        <f>IFERROR(COUNTIFS(Checklist!$D:$D,"A1.3",Checklist!$I:$I,"Yes")/COUNTIF(Checklist!$D:$D,"A1.3"),0)</f>
        <v>0</v>
      </c>
      <c r="M23" s="47" t="str">
        <f>IF(AND(J23="Done",K23&lt;1),"Check",IF(AND(J23="In progress",K23=0),"Check",IF(AND(K23&gt;=1,J23&lt;&gt;"Done"),"Check",IF(J23="Done","Done",IF(J23="Blocked","Blocked",IF(AND($C$7&gt;X23,K23&lt;1),"Late",""))))))</f>
        <v/>
      </c>
      <c r="N23" s="54"/>
      <c r="P23" s="38">
        <f>IF(AND(W23&lt;=5,X23&gt;=1),2,"")</f>
        <v>2</v>
      </c>
      <c r="Q23" s="38" t="str">
        <f>IF(AND(W23&lt;=10,X23&gt;=6),2,"")</f>
        <v/>
      </c>
      <c r="R23" s="38" t="str">
        <f>IF(AND(W23&lt;=15,X23&gt;=11),2,"")</f>
        <v/>
      </c>
      <c r="S23" s="38" t="str">
        <f>IF(AND(W23&lt;=20,X23&gt;=16),2,"")</f>
        <v/>
      </c>
      <c r="T23" s="38" t="str">
        <f>IF(AND(W23&lt;=25,X23&gt;=21),2,"")</f>
        <v/>
      </c>
      <c r="U23" s="38" t="str">
        <f>IF(AND(W23&lt;=30,X23&gt;=26),2,"")</f>
        <v/>
      </c>
      <c r="W23" s="26">
        <f>$W$20+INT(SUM(D$21:D23)/8-D23/8+0.0001)</f>
        <v>1</v>
      </c>
      <c r="X23" s="26">
        <f>MAX(W23,$W$20+ROUNDUP(SUM(D$21:D23)/8,0)-1)</f>
        <v>1</v>
      </c>
      <c r="Y23" s="26">
        <f t="shared" si="3"/>
        <v>1</v>
      </c>
      <c r="Z23" s="26" t="s">
        <v>75</v>
      </c>
      <c r="AA23" s="26" t="s">
        <v>11</v>
      </c>
    </row>
    <row r="24" spans="1:29" x14ac:dyDescent="0.25">
      <c r="A24" s="47" t="s">
        <v>80</v>
      </c>
      <c r="B24" s="48" t="s">
        <v>81</v>
      </c>
      <c r="C24" s="49" t="s">
        <v>11</v>
      </c>
      <c r="D24" s="50">
        <v>1</v>
      </c>
      <c r="E24" s="47">
        <f>X24-W24+1</f>
        <v>1</v>
      </c>
      <c r="F24" s="51">
        <f t="shared" si="1"/>
        <v>46299</v>
      </c>
      <c r="G24" s="51">
        <f t="shared" si="2"/>
        <v>46299</v>
      </c>
      <c r="H24" s="47"/>
      <c r="I24" s="47"/>
      <c r="J24" s="50" t="s">
        <v>746</v>
      </c>
      <c r="K24" s="52">
        <v>1</v>
      </c>
      <c r="L24" s="53">
        <f>IFERROR(COUNTIFS(Checklist!$D:$D,"A1.4",Checklist!$I:$I,"Yes")/COUNTIF(Checklist!$D:$D,"A1.4"),0)</f>
        <v>0</v>
      </c>
      <c r="M24" s="47" t="str">
        <f>IF(AND(J24="Done",K24&lt;1),"Check",IF(AND(J24="In progress",K24=0),"Check",IF(AND(K24&gt;=1,J24&lt;&gt;"Done"),"Check",IF(J24="Done","Done",IF(J24="Blocked","Blocked",IF(AND($C$7&gt;X24,K24&lt;1),"Late",""))))))</f>
        <v>Done</v>
      </c>
      <c r="N24" s="54"/>
      <c r="P24" s="38">
        <f>IF(AND(W24&lt;=5,X24&gt;=1),2,"")</f>
        <v>2</v>
      </c>
      <c r="Q24" s="38" t="str">
        <f>IF(AND(W24&lt;=10,X24&gt;=6),2,"")</f>
        <v/>
      </c>
      <c r="R24" s="38" t="str">
        <f>IF(AND(W24&lt;=15,X24&gt;=11),2,"")</f>
        <v/>
      </c>
      <c r="S24" s="38" t="str">
        <f>IF(AND(W24&lt;=20,X24&gt;=16),2,"")</f>
        <v/>
      </c>
      <c r="T24" s="38" t="str">
        <f>IF(AND(W24&lt;=25,X24&gt;=21),2,"")</f>
        <v/>
      </c>
      <c r="U24" s="38" t="str">
        <f>IF(AND(W24&lt;=30,X24&gt;=26),2,"")</f>
        <v/>
      </c>
      <c r="W24" s="26">
        <f>$W$20+INT(SUM(D$21:D24)/8-D24/8+0.0001)</f>
        <v>1</v>
      </c>
      <c r="X24" s="26">
        <f>MAX(W24,$W$20+ROUNDUP(SUM(D$21:D24)/8,0)-1)</f>
        <v>1</v>
      </c>
      <c r="Y24" s="26">
        <f t="shared" si="3"/>
        <v>1</v>
      </c>
      <c r="Z24" s="26" t="s">
        <v>75</v>
      </c>
      <c r="AA24" s="26" t="s">
        <v>11</v>
      </c>
    </row>
    <row r="25" spans="1:29" x14ac:dyDescent="0.25">
      <c r="A25" s="47" t="s">
        <v>82</v>
      </c>
      <c r="B25" s="48" t="s">
        <v>83</v>
      </c>
      <c r="C25" s="49" t="s">
        <v>11</v>
      </c>
      <c r="D25" s="50">
        <v>3</v>
      </c>
      <c r="E25" s="47">
        <f>X25-W25+1</f>
        <v>2</v>
      </c>
      <c r="F25" s="51">
        <f t="shared" si="1"/>
        <v>46299</v>
      </c>
      <c r="G25" s="51">
        <f t="shared" si="2"/>
        <v>46300</v>
      </c>
      <c r="H25" s="47"/>
      <c r="I25" s="47"/>
      <c r="J25" s="50" t="s">
        <v>746</v>
      </c>
      <c r="K25" s="52">
        <v>1</v>
      </c>
      <c r="L25" s="53">
        <f>IFERROR(COUNTIFS(Checklist!$D:$D,"A1.5",Checklist!$I:$I,"Yes")/COUNTIF(Checklist!$D:$D,"A1.5"),0)</f>
        <v>0</v>
      </c>
      <c r="M25" s="47" t="str">
        <f>IF(AND(J25="Done",K25&lt;1),"Check",IF(AND(J25="In progress",K25=0),"Check",IF(AND(K25&gt;=1,J25&lt;&gt;"Done"),"Check",IF(J25="Done","Done",IF(J25="Blocked","Blocked",IF(AND($C$7&gt;X25,K25&lt;1),"Late",""))))))</f>
        <v>Done</v>
      </c>
      <c r="N25" s="54"/>
      <c r="P25" s="38">
        <f>IF(AND(W25&lt;=5,X25&gt;=1),2,"")</f>
        <v>2</v>
      </c>
      <c r="Q25" s="38" t="str">
        <f>IF(AND(W25&lt;=10,X25&gt;=6),2,"")</f>
        <v/>
      </c>
      <c r="R25" s="38" t="str">
        <f>IF(AND(W25&lt;=15,X25&gt;=11),2,"")</f>
        <v/>
      </c>
      <c r="S25" s="38" t="str">
        <f>IF(AND(W25&lt;=20,X25&gt;=16),2,"")</f>
        <v/>
      </c>
      <c r="T25" s="38" t="str">
        <f>IF(AND(W25&lt;=25,X25&gt;=21),2,"")</f>
        <v/>
      </c>
      <c r="U25" s="38" t="str">
        <f>IF(AND(W25&lt;=30,X25&gt;=26),2,"")</f>
        <v/>
      </c>
      <c r="W25" s="26">
        <f>$W$20+INT(SUM(D$21:D25)/8-D25/8+0.0001)</f>
        <v>1</v>
      </c>
      <c r="X25" s="26">
        <f>MAX(W25,$W$20+ROUNDUP(SUM(D$21:D25)/8,0)-1)</f>
        <v>2</v>
      </c>
      <c r="Y25" s="26">
        <f t="shared" si="3"/>
        <v>2</v>
      </c>
      <c r="Z25" s="26" t="s">
        <v>75</v>
      </c>
      <c r="AA25" s="26" t="s">
        <v>11</v>
      </c>
    </row>
    <row r="26" spans="1:29" ht="25.5" x14ac:dyDescent="0.25">
      <c r="A26" s="39" t="s">
        <v>84</v>
      </c>
      <c r="B26" s="40" t="s">
        <v>85</v>
      </c>
      <c r="C26" s="41" t="s">
        <v>11</v>
      </c>
      <c r="D26" s="39">
        <f>SUM(D27:D30)</f>
        <v>4</v>
      </c>
      <c r="E26" s="39">
        <f>ROUNDUP(D26/8,0)</f>
        <v>1</v>
      </c>
      <c r="F26" s="42">
        <f t="shared" si="1"/>
        <v>46301</v>
      </c>
      <c r="G26" s="42">
        <f t="shared" si="2"/>
        <v>46301</v>
      </c>
      <c r="H26" s="43" t="s">
        <v>18</v>
      </c>
      <c r="I26" s="43" t="s">
        <v>86</v>
      </c>
      <c r="J26" s="39" t="str">
        <f>IF(K26&gt;=1,"Done",IF(COUNTIF(J27:J30,"Blocked")&gt;0,"Blocked",IF(OR(K26&gt;0,COUNTIF(J27:J30,"In progress")&gt;0),"In progress","Not started")))</f>
        <v>In progress</v>
      </c>
      <c r="K26" s="44">
        <f>IFERROR(SUMPRODUCT(D27:D30,K27:K30)/D26,0)</f>
        <v>0</v>
      </c>
      <c r="L26" s="45">
        <f>IFERROR(SUMPRODUCT(D27:D30,L27:L30)/D26,0)</f>
        <v>0</v>
      </c>
      <c r="M26" s="46" t="str">
        <f>IF(J26="Done","Done",IF(J26="Blocked","Blocked",IF(AND($C$7&gt;X26,K26&lt;1),"Late","")))</f>
        <v/>
      </c>
      <c r="N26" s="43" t="str">
        <f>IF(COUNTIF(J27:J30,"Blocked")&gt;0,"Blocked subtask — see below","")</f>
        <v/>
      </c>
      <c r="P26" s="38">
        <f>IF(AND(W26&lt;=5,X26&gt;=1),1,"")</f>
        <v>1</v>
      </c>
      <c r="Q26" s="38" t="str">
        <f>IF(AND(W26&lt;=10,X26&gt;=6),1,"")</f>
        <v/>
      </c>
      <c r="R26" s="38" t="str">
        <f>IF(AND(W26&lt;=15,X26&gt;=11),1,"")</f>
        <v/>
      </c>
      <c r="S26" s="38" t="str">
        <f>IF(AND(W26&lt;=20,X26&gt;=16),1,"")</f>
        <v/>
      </c>
      <c r="T26" s="38" t="str">
        <f>IF(AND(W26&lt;=25,X26&gt;=21),1,"")</f>
        <v/>
      </c>
      <c r="U26" s="38" t="str">
        <f>IF(AND(W26&lt;=30,X26&gt;=26),1,"")</f>
        <v/>
      </c>
      <c r="W26" s="26">
        <f>MAX(IFERROR(INDEX($X$14:$X$400,MATCH(AC26,$A$14:$A$400,0)),0),IFERROR(INDEX($X$14:$X$400,MATCH(AD26,$A$14:$A$400,0)),0),IFERROR(INDEX($X$14:$X$400,MATCH(AE26,$A$14:$A$400,0)),0),IFERROR(INDEX($X$14:$X$400,MATCH(AF26,$A$14:$A$400,0)),0),IFERROR(INDEX($X$14:$X$400,MATCH(AG26,$A$14:$A$400,0)),0),IFERROR(INDEX($X$14:$X$400,MATCH(AH26,$A$14:$A$400,0)),0),IFERROR(INDEX($X$14:$X$400,MATCH(AI26,$A$14:$A$400,0)),0),IFERROR(INDEX($X$14:$X$400,MATCH(AB26,$A$14:$A$400,0)),0))+1</f>
        <v>3</v>
      </c>
      <c r="X26" s="26">
        <f>W26+Y26-1</f>
        <v>3</v>
      </c>
      <c r="Y26" s="26">
        <f t="shared" si="3"/>
        <v>1</v>
      </c>
      <c r="Z26" s="26" t="s">
        <v>55</v>
      </c>
      <c r="AA26" s="26" t="s">
        <v>11</v>
      </c>
      <c r="AB26" s="26" t="s">
        <v>70</v>
      </c>
    </row>
    <row r="27" spans="1:29" x14ac:dyDescent="0.25">
      <c r="A27" s="47" t="s">
        <v>87</v>
      </c>
      <c r="B27" s="48" t="s">
        <v>88</v>
      </c>
      <c r="C27" s="49" t="s">
        <v>11</v>
      </c>
      <c r="D27" s="50">
        <v>1</v>
      </c>
      <c r="E27" s="47">
        <f>X27-W27+1</f>
        <v>1</v>
      </c>
      <c r="F27" s="51">
        <f t="shared" si="1"/>
        <v>46301</v>
      </c>
      <c r="G27" s="51">
        <f t="shared" si="2"/>
        <v>46301</v>
      </c>
      <c r="H27" s="47"/>
      <c r="I27" s="47"/>
      <c r="J27" s="50" t="s">
        <v>53</v>
      </c>
      <c r="K27" s="52">
        <v>0</v>
      </c>
      <c r="L27" s="53">
        <f>IFERROR(COUNTIFS(Checklist!$D:$D,"A2.1",Checklist!$I:$I,"Yes")/COUNTIF(Checklist!$D:$D,"A2.1"),0)</f>
        <v>0</v>
      </c>
      <c r="M27" s="47" t="str">
        <f>IF(AND(J27="Done",K27&lt;1),"Check",IF(AND(J27="In progress",K27=0),"Check",IF(AND(K27&gt;=1,J27&lt;&gt;"Done"),"Check",IF(J27="Done","Done",IF(J27="Blocked","Blocked",IF(AND($C$7&gt;X27,K27&lt;1),"Late",""))))))</f>
        <v>Check</v>
      </c>
      <c r="N27" s="54"/>
      <c r="P27" s="38">
        <f>IF(AND(W27&lt;=5,X27&gt;=1),2,"")</f>
        <v>2</v>
      </c>
      <c r="Q27" s="38" t="str">
        <f>IF(AND(W27&lt;=10,X27&gt;=6),2,"")</f>
        <v/>
      </c>
      <c r="R27" s="38" t="str">
        <f>IF(AND(W27&lt;=15,X27&gt;=11),2,"")</f>
        <v/>
      </c>
      <c r="S27" s="38" t="str">
        <f>IF(AND(W27&lt;=20,X27&gt;=16),2,"")</f>
        <v/>
      </c>
      <c r="T27" s="38" t="str">
        <f>IF(AND(W27&lt;=25,X27&gt;=21),2,"")</f>
        <v/>
      </c>
      <c r="U27" s="38" t="str">
        <f>IF(AND(W27&lt;=30,X27&gt;=26),2,"")</f>
        <v/>
      </c>
      <c r="W27" s="26">
        <f>$W$26+INT(SUM(D$27:D27)/8-D27/8+0.0001)</f>
        <v>3</v>
      </c>
      <c r="X27" s="26">
        <f>MAX(W27,$W$26+ROUNDUP(SUM(D$27:D27)/8,0)-1)</f>
        <v>3</v>
      </c>
      <c r="Y27" s="26">
        <f t="shared" si="3"/>
        <v>1</v>
      </c>
      <c r="Z27" s="26" t="s">
        <v>75</v>
      </c>
      <c r="AA27" s="26" t="s">
        <v>11</v>
      </c>
    </row>
    <row r="28" spans="1:29" x14ac:dyDescent="0.25">
      <c r="A28" s="47" t="s">
        <v>90</v>
      </c>
      <c r="B28" s="48" t="s">
        <v>91</v>
      </c>
      <c r="C28" s="49" t="s">
        <v>11</v>
      </c>
      <c r="D28" s="50">
        <v>1</v>
      </c>
      <c r="E28" s="47">
        <f>X28-W28+1</f>
        <v>1</v>
      </c>
      <c r="F28" s="51">
        <f t="shared" si="1"/>
        <v>46301</v>
      </c>
      <c r="G28" s="51">
        <f t="shared" si="2"/>
        <v>46301</v>
      </c>
      <c r="H28" s="47"/>
      <c r="I28" s="47"/>
      <c r="J28" s="50" t="s">
        <v>53</v>
      </c>
      <c r="K28" s="52">
        <v>0</v>
      </c>
      <c r="L28" s="53">
        <f>IFERROR(COUNTIFS(Checklist!$D:$D,"A2.2",Checklist!$I:$I,"Yes")/COUNTIF(Checklist!$D:$D,"A2.2"),0)</f>
        <v>0</v>
      </c>
      <c r="M28" s="47" t="str">
        <f>IF(AND(J28="Done",K28&lt;1),"Check",IF(AND(J28="In progress",K28=0),"Check",IF(AND(K28&gt;=1,J28&lt;&gt;"Done"),"Check",IF(J28="Done","Done",IF(J28="Blocked","Blocked",IF(AND($C$7&gt;X28,K28&lt;1),"Late",""))))))</f>
        <v>Check</v>
      </c>
      <c r="N28" s="54"/>
      <c r="P28" s="38">
        <f>IF(AND(W28&lt;=5,X28&gt;=1),2,"")</f>
        <v>2</v>
      </c>
      <c r="Q28" s="38" t="str">
        <f>IF(AND(W28&lt;=10,X28&gt;=6),2,"")</f>
        <v/>
      </c>
      <c r="R28" s="38" t="str">
        <f>IF(AND(W28&lt;=15,X28&gt;=11),2,"")</f>
        <v/>
      </c>
      <c r="S28" s="38" t="str">
        <f>IF(AND(W28&lt;=20,X28&gt;=16),2,"")</f>
        <v/>
      </c>
      <c r="T28" s="38" t="str">
        <f>IF(AND(W28&lt;=25,X28&gt;=21),2,"")</f>
        <v/>
      </c>
      <c r="U28" s="38" t="str">
        <f>IF(AND(W28&lt;=30,X28&gt;=26),2,"")</f>
        <v/>
      </c>
      <c r="W28" s="26">
        <f>$W$26+INT(SUM(D$27:D28)/8-D28/8+0.0001)</f>
        <v>3</v>
      </c>
      <c r="X28" s="26">
        <f>MAX(W28,$W$26+ROUNDUP(SUM(D$27:D28)/8,0)-1)</f>
        <v>3</v>
      </c>
      <c r="Y28" s="26">
        <f t="shared" si="3"/>
        <v>1</v>
      </c>
      <c r="Z28" s="26" t="s">
        <v>75</v>
      </c>
      <c r="AA28" s="26" t="s">
        <v>11</v>
      </c>
    </row>
    <row r="29" spans="1:29" x14ac:dyDescent="0.25">
      <c r="A29" s="47" t="s">
        <v>92</v>
      </c>
      <c r="B29" s="48" t="s">
        <v>93</v>
      </c>
      <c r="C29" s="49" t="s">
        <v>11</v>
      </c>
      <c r="D29" s="50">
        <v>1</v>
      </c>
      <c r="E29" s="47">
        <f>X29-W29+1</f>
        <v>1</v>
      </c>
      <c r="F29" s="51">
        <f t="shared" si="1"/>
        <v>46301</v>
      </c>
      <c r="G29" s="51">
        <f t="shared" si="2"/>
        <v>46301</v>
      </c>
      <c r="H29" s="47"/>
      <c r="I29" s="47"/>
      <c r="J29" s="50" t="s">
        <v>53</v>
      </c>
      <c r="K29" s="52">
        <v>0</v>
      </c>
      <c r="L29" s="53">
        <f>IFERROR(COUNTIFS(Checklist!$D:$D,"A2.3",Checklist!$I:$I,"Yes")/COUNTIF(Checklist!$D:$D,"A2.3"),0)</f>
        <v>0</v>
      </c>
      <c r="M29" s="47" t="str">
        <f>IF(AND(J29="Done",K29&lt;1),"Check",IF(AND(J29="In progress",K29=0),"Check",IF(AND(K29&gt;=1,J29&lt;&gt;"Done"),"Check",IF(J29="Done","Done",IF(J29="Blocked","Blocked",IF(AND($C$7&gt;X29,K29&lt;1),"Late",""))))))</f>
        <v>Check</v>
      </c>
      <c r="N29" s="54"/>
      <c r="P29" s="38">
        <f>IF(AND(W29&lt;=5,X29&gt;=1),2,"")</f>
        <v>2</v>
      </c>
      <c r="Q29" s="38" t="str">
        <f>IF(AND(W29&lt;=10,X29&gt;=6),2,"")</f>
        <v/>
      </c>
      <c r="R29" s="38" t="str">
        <f>IF(AND(W29&lt;=15,X29&gt;=11),2,"")</f>
        <v/>
      </c>
      <c r="S29" s="38" t="str">
        <f>IF(AND(W29&lt;=20,X29&gt;=16),2,"")</f>
        <v/>
      </c>
      <c r="T29" s="38" t="str">
        <f>IF(AND(W29&lt;=25,X29&gt;=21),2,"")</f>
        <v/>
      </c>
      <c r="U29" s="38" t="str">
        <f>IF(AND(W29&lt;=30,X29&gt;=26),2,"")</f>
        <v/>
      </c>
      <c r="W29" s="26">
        <f>$W$26+INT(SUM(D$27:D29)/8-D29/8+0.0001)</f>
        <v>3</v>
      </c>
      <c r="X29" s="26">
        <f>MAX(W29,$W$26+ROUNDUP(SUM(D$27:D29)/8,0)-1)</f>
        <v>3</v>
      </c>
      <c r="Y29" s="26">
        <f t="shared" si="3"/>
        <v>1</v>
      </c>
      <c r="Z29" s="26" t="s">
        <v>75</v>
      </c>
      <c r="AA29" s="26" t="s">
        <v>11</v>
      </c>
    </row>
    <row r="30" spans="1:29" x14ac:dyDescent="0.25">
      <c r="A30" s="47" t="s">
        <v>94</v>
      </c>
      <c r="B30" s="48" t="s">
        <v>95</v>
      </c>
      <c r="C30" s="49" t="s">
        <v>11</v>
      </c>
      <c r="D30" s="50">
        <v>1</v>
      </c>
      <c r="E30" s="47">
        <f>X30-W30+1</f>
        <v>1</v>
      </c>
      <c r="F30" s="51">
        <f t="shared" si="1"/>
        <v>46301</v>
      </c>
      <c r="G30" s="51">
        <f t="shared" si="2"/>
        <v>46301</v>
      </c>
      <c r="H30" s="47"/>
      <c r="I30" s="47"/>
      <c r="J30" s="50" t="s">
        <v>53</v>
      </c>
      <c r="K30" s="52">
        <v>0</v>
      </c>
      <c r="L30" s="53">
        <f>IFERROR(COUNTIFS(Checklist!$D:$D,"A2.4",Checklist!$I:$I,"Yes")/COUNTIF(Checklist!$D:$D,"A2.4"),0)</f>
        <v>0</v>
      </c>
      <c r="M30" s="47" t="str">
        <f>IF(AND(J30="Done",K30&lt;1),"Check",IF(AND(J30="In progress",K30=0),"Check",IF(AND(K30&gt;=1,J30&lt;&gt;"Done"),"Check",IF(J30="Done","Done",IF(J30="Blocked","Blocked",IF(AND($C$7&gt;X30,K30&lt;1),"Late",""))))))</f>
        <v>Check</v>
      </c>
      <c r="N30" s="54"/>
      <c r="P30" s="38">
        <f>IF(AND(W30&lt;=5,X30&gt;=1),2,"")</f>
        <v>2</v>
      </c>
      <c r="Q30" s="38" t="str">
        <f>IF(AND(W30&lt;=10,X30&gt;=6),2,"")</f>
        <v/>
      </c>
      <c r="R30" s="38" t="str">
        <f>IF(AND(W30&lt;=15,X30&gt;=11),2,"")</f>
        <v/>
      </c>
      <c r="S30" s="38" t="str">
        <f>IF(AND(W30&lt;=20,X30&gt;=16),2,"")</f>
        <v/>
      </c>
      <c r="T30" s="38" t="str">
        <f>IF(AND(W30&lt;=25,X30&gt;=21),2,"")</f>
        <v/>
      </c>
      <c r="U30" s="38" t="str">
        <f>IF(AND(W30&lt;=30,X30&gt;=26),2,"")</f>
        <v/>
      </c>
      <c r="W30" s="26">
        <f>$W$26+INT(SUM(D$27:D30)/8-D30/8+0.0001)</f>
        <v>3</v>
      </c>
      <c r="X30" s="26">
        <f>MAX(W30,$W$26+ROUNDUP(SUM(D$27:D30)/8,0)-1)</f>
        <v>3</v>
      </c>
      <c r="Y30" s="26">
        <f t="shared" si="3"/>
        <v>1</v>
      </c>
      <c r="Z30" s="26" t="s">
        <v>75</v>
      </c>
      <c r="AA30" s="26" t="s">
        <v>11</v>
      </c>
    </row>
    <row r="31" spans="1:29" ht="25.5" x14ac:dyDescent="0.25">
      <c r="A31" s="39" t="s">
        <v>96</v>
      </c>
      <c r="B31" s="40" t="s">
        <v>97</v>
      </c>
      <c r="C31" s="41" t="s">
        <v>11</v>
      </c>
      <c r="D31" s="39">
        <f>SUM(D32:D34)</f>
        <v>8</v>
      </c>
      <c r="E31" s="39">
        <f>ROUNDUP(D31/8,0)</f>
        <v>1</v>
      </c>
      <c r="F31" s="42">
        <f t="shared" si="1"/>
        <v>46302</v>
      </c>
      <c r="G31" s="42">
        <f t="shared" si="2"/>
        <v>46302</v>
      </c>
      <c r="H31" s="43" t="s">
        <v>98</v>
      </c>
      <c r="I31" s="43" t="s">
        <v>99</v>
      </c>
      <c r="J31" s="39" t="str">
        <f>IF(K31&gt;=1,"Done",IF(COUNTIF(J32:J34,"Blocked")&gt;0,"Blocked",IF(OR(K31&gt;0,COUNTIF(J32:J34,"In progress")&gt;0),"In progress","Not started")))</f>
        <v>In progress</v>
      </c>
      <c r="K31" s="44">
        <f>IFERROR(SUMPRODUCT(D32:D34,K32:K34)/D31,0)</f>
        <v>0</v>
      </c>
      <c r="L31" s="45">
        <f>IFERROR(SUMPRODUCT(D32:D34,L32:L34)/D31,0)</f>
        <v>0</v>
      </c>
      <c r="M31" s="46" t="str">
        <f>IF(J31="Done","Done",IF(J31="Blocked","Blocked",IF(AND($C$7&gt;X31,K31&lt;1),"Late","")))</f>
        <v/>
      </c>
      <c r="N31" s="43" t="str">
        <f>IF(COUNTIF(J32:J34,"Blocked")&gt;0,"Blocked subtask — see below","")</f>
        <v/>
      </c>
      <c r="P31" s="38">
        <f>IF(AND(W31&lt;=5,X31&gt;=1),1,"")</f>
        <v>1</v>
      </c>
      <c r="Q31" s="38" t="str">
        <f>IF(AND(W31&lt;=10,X31&gt;=6),1,"")</f>
        <v/>
      </c>
      <c r="R31" s="38" t="str">
        <f>IF(AND(W31&lt;=15,X31&gt;=11),1,"")</f>
        <v/>
      </c>
      <c r="S31" s="38" t="str">
        <f>IF(AND(W31&lt;=20,X31&gt;=16),1,"")</f>
        <v/>
      </c>
      <c r="T31" s="38" t="str">
        <f>IF(AND(W31&lt;=25,X31&gt;=21),1,"")</f>
        <v/>
      </c>
      <c r="U31" s="38" t="str">
        <f>IF(AND(W31&lt;=30,X31&gt;=26),1,"")</f>
        <v/>
      </c>
      <c r="W31" s="26">
        <f>MAX(IFERROR(INDEX($X$14:$X$400,MATCH(AC31,$A$14:$A$400,0)),0),IFERROR(INDEX($X$14:$X$400,MATCH(AD31,$A$14:$A$400,0)),0),IFERROR(INDEX($X$14:$X$400,MATCH(AE31,$A$14:$A$400,0)),0),IFERROR(INDEX($X$14:$X$400,MATCH(AF31,$A$14:$A$400,0)),0),IFERROR(INDEX($X$14:$X$400,MATCH(AG31,$A$14:$A$400,0)),0),IFERROR(INDEX($X$14:$X$400,MATCH(AH31,$A$14:$A$400,0)),0),IFERROR(INDEX($X$14:$X$400,MATCH(AI31,$A$14:$A$400,0)),0),IFERROR(INDEX($X$14:$X$400,MATCH(AB31,$A$14:$A$400,0)),0))+1</f>
        <v>4</v>
      </c>
      <c r="X31" s="26">
        <f>W31+Y31-1</f>
        <v>4</v>
      </c>
      <c r="Y31" s="26">
        <f t="shared" si="3"/>
        <v>1</v>
      </c>
      <c r="Z31" s="26" t="s">
        <v>55</v>
      </c>
      <c r="AA31" s="26" t="s">
        <v>11</v>
      </c>
      <c r="AB31" s="26" t="s">
        <v>84</v>
      </c>
      <c r="AC31" s="26" t="s">
        <v>98</v>
      </c>
    </row>
    <row r="32" spans="1:29" x14ac:dyDescent="0.25">
      <c r="A32" s="47" t="s">
        <v>100</v>
      </c>
      <c r="B32" s="48" t="s">
        <v>101</v>
      </c>
      <c r="C32" s="49" t="s">
        <v>11</v>
      </c>
      <c r="D32" s="50">
        <v>4</v>
      </c>
      <c r="E32" s="47">
        <f>X32-W32+1</f>
        <v>1</v>
      </c>
      <c r="F32" s="51">
        <f t="shared" si="1"/>
        <v>46302</v>
      </c>
      <c r="G32" s="51">
        <f t="shared" si="2"/>
        <v>46302</v>
      </c>
      <c r="H32" s="47"/>
      <c r="I32" s="47"/>
      <c r="J32" s="50" t="s">
        <v>53</v>
      </c>
      <c r="K32" s="52">
        <v>0</v>
      </c>
      <c r="L32" s="53">
        <f>IFERROR(COUNTIFS(Checklist!$D:$D,"B5.1",Checklist!$I:$I,"Yes")/COUNTIF(Checklist!$D:$D,"B5.1"),0)</f>
        <v>0</v>
      </c>
      <c r="M32" s="47" t="str">
        <f>IF(AND(J32="Done",K32&lt;1),"Check",IF(AND(J32="In progress",K32=0),"Check",IF(AND(K32&gt;=1,J32&lt;&gt;"Done"),"Check",IF(J32="Done","Done",IF(J32="Blocked","Blocked",IF(AND($C$7&gt;X32,K32&lt;1),"Late",""))))))</f>
        <v>Check</v>
      </c>
      <c r="N32" s="54"/>
      <c r="P32" s="38">
        <f>IF(AND(W32&lt;=5,X32&gt;=1),2,"")</f>
        <v>2</v>
      </c>
      <c r="Q32" s="38" t="str">
        <f>IF(AND(W32&lt;=10,X32&gt;=6),2,"")</f>
        <v/>
      </c>
      <c r="R32" s="38" t="str">
        <f>IF(AND(W32&lt;=15,X32&gt;=11),2,"")</f>
        <v/>
      </c>
      <c r="S32" s="38" t="str">
        <f>IF(AND(W32&lt;=20,X32&gt;=16),2,"")</f>
        <v/>
      </c>
      <c r="T32" s="38" t="str">
        <f>IF(AND(W32&lt;=25,X32&gt;=21),2,"")</f>
        <v/>
      </c>
      <c r="U32" s="38" t="str">
        <f>IF(AND(W32&lt;=30,X32&gt;=26),2,"")</f>
        <v/>
      </c>
      <c r="W32" s="26">
        <f>$W$31+INT(SUM(D$32:D32)/8-D32/8+0.0001)</f>
        <v>4</v>
      </c>
      <c r="X32" s="26">
        <f>MAX(W32,$W$31+ROUNDUP(SUM(D$32:D32)/8,0)-1)</f>
        <v>4</v>
      </c>
      <c r="Y32" s="26">
        <f t="shared" si="3"/>
        <v>1</v>
      </c>
      <c r="Z32" s="26" t="s">
        <v>75</v>
      </c>
      <c r="AA32" s="26" t="s">
        <v>11</v>
      </c>
    </row>
    <row r="33" spans="1:30" x14ac:dyDescent="0.25">
      <c r="A33" s="47" t="s">
        <v>102</v>
      </c>
      <c r="B33" s="48" t="s">
        <v>103</v>
      </c>
      <c r="C33" s="49" t="s">
        <v>11</v>
      </c>
      <c r="D33" s="50">
        <v>2</v>
      </c>
      <c r="E33" s="47">
        <f>X33-W33+1</f>
        <v>1</v>
      </c>
      <c r="F33" s="51">
        <f t="shared" si="1"/>
        <v>46302</v>
      </c>
      <c r="G33" s="51">
        <f t="shared" si="2"/>
        <v>46302</v>
      </c>
      <c r="H33" s="47"/>
      <c r="I33" s="47"/>
      <c r="J33" s="50" t="s">
        <v>53</v>
      </c>
      <c r="K33" s="52">
        <v>0</v>
      </c>
      <c r="L33" s="53">
        <f>IFERROR(COUNTIFS(Checklist!$D:$D,"B5.2",Checklist!$I:$I,"Yes")/COUNTIF(Checklist!$D:$D,"B5.2"),0)</f>
        <v>0</v>
      </c>
      <c r="M33" s="47" t="str">
        <f>IF(AND(J33="Done",K33&lt;1),"Check",IF(AND(J33="In progress",K33=0),"Check",IF(AND(K33&gt;=1,J33&lt;&gt;"Done"),"Check",IF(J33="Done","Done",IF(J33="Blocked","Blocked",IF(AND($C$7&gt;X33,K33&lt;1),"Late",""))))))</f>
        <v>Check</v>
      </c>
      <c r="N33" s="54"/>
      <c r="P33" s="38">
        <f>IF(AND(W33&lt;=5,X33&gt;=1),2,"")</f>
        <v>2</v>
      </c>
      <c r="Q33" s="38" t="str">
        <f>IF(AND(W33&lt;=10,X33&gt;=6),2,"")</f>
        <v/>
      </c>
      <c r="R33" s="38" t="str">
        <f>IF(AND(W33&lt;=15,X33&gt;=11),2,"")</f>
        <v/>
      </c>
      <c r="S33" s="38" t="str">
        <f>IF(AND(W33&lt;=20,X33&gt;=16),2,"")</f>
        <v/>
      </c>
      <c r="T33" s="38" t="str">
        <f>IF(AND(W33&lt;=25,X33&gt;=21),2,"")</f>
        <v/>
      </c>
      <c r="U33" s="38" t="str">
        <f>IF(AND(W33&lt;=30,X33&gt;=26),2,"")</f>
        <v/>
      </c>
      <c r="W33" s="26">
        <f>$W$31+INT(SUM(D$32:D33)/8-D33/8+0.0001)</f>
        <v>4</v>
      </c>
      <c r="X33" s="26">
        <f>MAX(W33,$W$31+ROUNDUP(SUM(D$32:D33)/8,0)-1)</f>
        <v>4</v>
      </c>
      <c r="Y33" s="26">
        <f t="shared" si="3"/>
        <v>1</v>
      </c>
      <c r="Z33" s="26" t="s">
        <v>75</v>
      </c>
      <c r="AA33" s="26" t="s">
        <v>11</v>
      </c>
    </row>
    <row r="34" spans="1:30" x14ac:dyDescent="0.25">
      <c r="A34" s="47" t="s">
        <v>104</v>
      </c>
      <c r="B34" s="48" t="s">
        <v>105</v>
      </c>
      <c r="C34" s="49" t="s">
        <v>11</v>
      </c>
      <c r="D34" s="50">
        <v>2</v>
      </c>
      <c r="E34" s="47">
        <f>X34-W34+1</f>
        <v>1</v>
      </c>
      <c r="F34" s="51">
        <f t="shared" si="1"/>
        <v>46302</v>
      </c>
      <c r="G34" s="51">
        <f t="shared" si="2"/>
        <v>46302</v>
      </c>
      <c r="H34" s="47"/>
      <c r="I34" s="47"/>
      <c r="J34" s="50" t="s">
        <v>53</v>
      </c>
      <c r="K34" s="52">
        <v>0</v>
      </c>
      <c r="L34" s="53">
        <f>IFERROR(COUNTIFS(Checklist!$D:$D,"B5.3",Checklist!$I:$I,"Yes")/COUNTIF(Checklist!$D:$D,"B5.3"),0)</f>
        <v>0</v>
      </c>
      <c r="M34" s="47" t="str">
        <f>IF(AND(J34="Done",K34&lt;1),"Check",IF(AND(J34="In progress",K34=0),"Check",IF(AND(K34&gt;=1,J34&lt;&gt;"Done"),"Check",IF(J34="Done","Done",IF(J34="Blocked","Blocked",IF(AND($C$7&gt;X34,K34&lt;1),"Late",""))))))</f>
        <v>Check</v>
      </c>
      <c r="N34" s="54"/>
      <c r="P34" s="38">
        <f>IF(AND(W34&lt;=5,X34&gt;=1),2,"")</f>
        <v>2</v>
      </c>
      <c r="Q34" s="38" t="str">
        <f>IF(AND(W34&lt;=10,X34&gt;=6),2,"")</f>
        <v/>
      </c>
      <c r="R34" s="38" t="str">
        <f>IF(AND(W34&lt;=15,X34&gt;=11),2,"")</f>
        <v/>
      </c>
      <c r="S34" s="38" t="str">
        <f>IF(AND(W34&lt;=20,X34&gt;=16),2,"")</f>
        <v/>
      </c>
      <c r="T34" s="38" t="str">
        <f>IF(AND(W34&lt;=25,X34&gt;=21),2,"")</f>
        <v/>
      </c>
      <c r="U34" s="38" t="str">
        <f>IF(AND(W34&lt;=30,X34&gt;=26),2,"")</f>
        <v/>
      </c>
      <c r="W34" s="26">
        <f>$W$31+INT(SUM(D$32:D34)/8-D34/8+0.0001)</f>
        <v>4</v>
      </c>
      <c r="X34" s="26">
        <f>MAX(W34,$W$31+ROUNDUP(SUM(D$32:D34)/8,0)-1)</f>
        <v>4</v>
      </c>
      <c r="Y34" s="26">
        <f t="shared" si="3"/>
        <v>1</v>
      </c>
      <c r="Z34" s="26" t="s">
        <v>75</v>
      </c>
      <c r="AA34" s="26" t="s">
        <v>11</v>
      </c>
    </row>
    <row r="35" spans="1:30" ht="25.5" x14ac:dyDescent="0.25">
      <c r="A35" s="39" t="s">
        <v>106</v>
      </c>
      <c r="B35" s="40" t="s">
        <v>107</v>
      </c>
      <c r="C35" s="41" t="s">
        <v>11</v>
      </c>
      <c r="D35" s="39">
        <f>SUM(D36:D38)</f>
        <v>10</v>
      </c>
      <c r="E35" s="39">
        <f>ROUNDUP(D35/8,0)</f>
        <v>2</v>
      </c>
      <c r="F35" s="42">
        <f t="shared" si="1"/>
        <v>46306</v>
      </c>
      <c r="G35" s="42">
        <f t="shared" si="2"/>
        <v>46307</v>
      </c>
      <c r="H35" s="43" t="s">
        <v>108</v>
      </c>
      <c r="I35" s="43" t="s">
        <v>109</v>
      </c>
      <c r="J35" s="39" t="str">
        <f>IF(K35&gt;=1,"Done",IF(COUNTIF(J36:J38,"Blocked")&gt;0,"Blocked",IF(OR(K35&gt;0,COUNTIF(J36:J38,"In progress")&gt;0),"In progress","Not started")))</f>
        <v>Not started</v>
      </c>
      <c r="K35" s="44">
        <f>IFERROR(SUMPRODUCT(D36:D38,K36:K38)/D35,0)</f>
        <v>0</v>
      </c>
      <c r="L35" s="45">
        <f>IFERROR(SUMPRODUCT(D36:D38,L36:L38)/D35,0)</f>
        <v>0</v>
      </c>
      <c r="M35" s="46" t="str">
        <f>IF(J35="Done","Done",IF(J35="Blocked","Blocked",IF(AND($C$7&gt;X35,K35&lt;1),"Late","")))</f>
        <v/>
      </c>
      <c r="N35" s="43" t="str">
        <f>IF(COUNTIF(J36:J38,"Blocked")&gt;0,"Blocked subtask — see below","")</f>
        <v/>
      </c>
      <c r="P35" s="38" t="str">
        <f>IF(AND(W35&lt;=5,X35&gt;=1),1,"")</f>
        <v/>
      </c>
      <c r="Q35" s="38">
        <f>IF(AND(W35&lt;=10,X35&gt;=6),1,"")</f>
        <v>1</v>
      </c>
      <c r="R35" s="38" t="str">
        <f>IF(AND(W35&lt;=15,X35&gt;=11),1,"")</f>
        <v/>
      </c>
      <c r="S35" s="38" t="str">
        <f>IF(AND(W35&lt;=20,X35&gt;=16),1,"")</f>
        <v/>
      </c>
      <c r="T35" s="38" t="str">
        <f>IF(AND(W35&lt;=25,X35&gt;=21),1,"")</f>
        <v/>
      </c>
      <c r="U35" s="38" t="str">
        <f>IF(AND(W35&lt;=30,X35&gt;=26),1,"")</f>
        <v/>
      </c>
      <c r="W35" s="26">
        <f>MAX(IFERROR(INDEX($X$14:$X$400,MATCH(AC35,$A$14:$A$400,0)),0),IFERROR(INDEX($X$14:$X$400,MATCH(AD35,$A$14:$A$400,0)),0),IFERROR(INDEX($X$14:$X$400,MATCH(AE35,$A$14:$A$400,0)),0),IFERROR(INDEX($X$14:$X$400,MATCH(AF35,$A$14:$A$400,0)),0),IFERROR(INDEX($X$14:$X$400,MATCH(AG35,$A$14:$A$400,0)),0),IFERROR(INDEX($X$14:$X$400,MATCH(AH35,$A$14:$A$400,0)),0),IFERROR(INDEX($X$14:$X$400,MATCH(AI35,$A$14:$A$400,0)),0),IFERROR(INDEX($X$14:$X$400,MATCH(AB35,$A$14:$A$400,0)),0))+1</f>
        <v>6</v>
      </c>
      <c r="X35" s="26">
        <f>W35+Y35-1</f>
        <v>7</v>
      </c>
      <c r="Y35" s="26">
        <f t="shared" si="3"/>
        <v>2</v>
      </c>
      <c r="Z35" s="26" t="s">
        <v>55</v>
      </c>
      <c r="AA35" s="26" t="s">
        <v>11</v>
      </c>
      <c r="AB35" s="26" t="s">
        <v>96</v>
      </c>
      <c r="AC35" s="26" t="s">
        <v>110</v>
      </c>
      <c r="AD35" s="26" t="s">
        <v>111</v>
      </c>
    </row>
    <row r="36" spans="1:30" x14ac:dyDescent="0.25">
      <c r="A36" s="47" t="s">
        <v>112</v>
      </c>
      <c r="B36" s="48" t="s">
        <v>113</v>
      </c>
      <c r="C36" s="49" t="s">
        <v>11</v>
      </c>
      <c r="D36" s="50">
        <v>4</v>
      </c>
      <c r="E36" s="47">
        <f>X36-W36+1</f>
        <v>1</v>
      </c>
      <c r="F36" s="51">
        <f t="shared" si="1"/>
        <v>46306</v>
      </c>
      <c r="G36" s="51">
        <f t="shared" si="2"/>
        <v>46306</v>
      </c>
      <c r="H36" s="47"/>
      <c r="I36" s="47"/>
      <c r="J36" s="50" t="s">
        <v>89</v>
      </c>
      <c r="K36" s="52">
        <v>0</v>
      </c>
      <c r="L36" s="53">
        <f>IFERROR(COUNTIFS(Checklist!$D:$D,"B4.1",Checklist!$I:$I,"Yes")/COUNTIF(Checklist!$D:$D,"B4.1"),0)</f>
        <v>0</v>
      </c>
      <c r="M36" s="47" t="str">
        <f>IF(AND(J36="Done",K36&lt;1),"Check",IF(AND(J36="In progress",K36=0),"Check",IF(AND(K36&gt;=1,J36&lt;&gt;"Done"),"Check",IF(J36="Done","Done",IF(J36="Blocked","Blocked",IF(AND($C$7&gt;X36,K36&lt;1),"Late",""))))))</f>
        <v/>
      </c>
      <c r="N36" s="54"/>
      <c r="P36" s="38" t="str">
        <f>IF(AND(W36&lt;=5,X36&gt;=1),2,"")</f>
        <v/>
      </c>
      <c r="Q36" s="38">
        <f>IF(AND(W36&lt;=10,X36&gt;=6),2,"")</f>
        <v>2</v>
      </c>
      <c r="R36" s="38" t="str">
        <f>IF(AND(W36&lt;=15,X36&gt;=11),2,"")</f>
        <v/>
      </c>
      <c r="S36" s="38" t="str">
        <f>IF(AND(W36&lt;=20,X36&gt;=16),2,"")</f>
        <v/>
      </c>
      <c r="T36" s="38" t="str">
        <f>IF(AND(W36&lt;=25,X36&gt;=21),2,"")</f>
        <v/>
      </c>
      <c r="U36" s="38" t="str">
        <f>IF(AND(W36&lt;=30,X36&gt;=26),2,"")</f>
        <v/>
      </c>
      <c r="W36" s="26">
        <f>$W$35+INT(SUM(D$36:D36)/8-D36/8+0.0001)</f>
        <v>6</v>
      </c>
      <c r="X36" s="26">
        <f>MAX(W36,$W$35+ROUNDUP(SUM(D$36:D36)/8,0)-1)</f>
        <v>6</v>
      </c>
      <c r="Y36" s="26">
        <f t="shared" si="3"/>
        <v>1</v>
      </c>
      <c r="Z36" s="26" t="s">
        <v>75</v>
      </c>
      <c r="AA36" s="26" t="s">
        <v>11</v>
      </c>
    </row>
    <row r="37" spans="1:30" x14ac:dyDescent="0.25">
      <c r="A37" s="47" t="s">
        <v>114</v>
      </c>
      <c r="B37" s="48" t="s">
        <v>115</v>
      </c>
      <c r="C37" s="49" t="s">
        <v>11</v>
      </c>
      <c r="D37" s="50">
        <v>2</v>
      </c>
      <c r="E37" s="47">
        <f>X37-W37+1</f>
        <v>1</v>
      </c>
      <c r="F37" s="51">
        <f t="shared" si="1"/>
        <v>46306</v>
      </c>
      <c r="G37" s="51">
        <f t="shared" si="2"/>
        <v>46306</v>
      </c>
      <c r="H37" s="47"/>
      <c r="I37" s="47"/>
      <c r="J37" s="50" t="s">
        <v>89</v>
      </c>
      <c r="K37" s="52">
        <v>0</v>
      </c>
      <c r="L37" s="53">
        <f>IFERROR(COUNTIFS(Checklist!$D:$D,"B4.2",Checklist!$I:$I,"Yes")/COUNTIF(Checklist!$D:$D,"B4.2"),0)</f>
        <v>0</v>
      </c>
      <c r="M37" s="47" t="str">
        <f>IF(AND(J37="Done",K37&lt;1),"Check",IF(AND(J37="In progress",K37=0),"Check",IF(AND(K37&gt;=1,J37&lt;&gt;"Done"),"Check",IF(J37="Done","Done",IF(J37="Blocked","Blocked",IF(AND($C$7&gt;X37,K37&lt;1),"Late",""))))))</f>
        <v/>
      </c>
      <c r="N37" s="54"/>
      <c r="P37" s="38" t="str">
        <f>IF(AND(W37&lt;=5,X37&gt;=1),2,"")</f>
        <v/>
      </c>
      <c r="Q37" s="38">
        <f>IF(AND(W37&lt;=10,X37&gt;=6),2,"")</f>
        <v>2</v>
      </c>
      <c r="R37" s="38" t="str">
        <f>IF(AND(W37&lt;=15,X37&gt;=11),2,"")</f>
        <v/>
      </c>
      <c r="S37" s="38" t="str">
        <f>IF(AND(W37&lt;=20,X37&gt;=16),2,"")</f>
        <v/>
      </c>
      <c r="T37" s="38" t="str">
        <f>IF(AND(W37&lt;=25,X37&gt;=21),2,"")</f>
        <v/>
      </c>
      <c r="U37" s="38" t="str">
        <f>IF(AND(W37&lt;=30,X37&gt;=26),2,"")</f>
        <v/>
      </c>
      <c r="W37" s="26">
        <f>$W$35+INT(SUM(D$36:D37)/8-D37/8+0.0001)</f>
        <v>6</v>
      </c>
      <c r="X37" s="26">
        <f>MAX(W37,$W$35+ROUNDUP(SUM(D$36:D37)/8,0)-1)</f>
        <v>6</v>
      </c>
      <c r="Y37" s="26">
        <f t="shared" si="3"/>
        <v>1</v>
      </c>
      <c r="Z37" s="26" t="s">
        <v>75</v>
      </c>
      <c r="AA37" s="26" t="s">
        <v>11</v>
      </c>
    </row>
    <row r="38" spans="1:30" x14ac:dyDescent="0.25">
      <c r="A38" s="47" t="s">
        <v>116</v>
      </c>
      <c r="B38" s="48" t="s">
        <v>117</v>
      </c>
      <c r="C38" s="49" t="s">
        <v>11</v>
      </c>
      <c r="D38" s="50">
        <v>4</v>
      </c>
      <c r="E38" s="47">
        <f>X38-W38+1</f>
        <v>2</v>
      </c>
      <c r="F38" s="51">
        <f t="shared" si="1"/>
        <v>46306</v>
      </c>
      <c r="G38" s="51">
        <f t="shared" si="2"/>
        <v>46307</v>
      </c>
      <c r="H38" s="47"/>
      <c r="I38" s="47"/>
      <c r="J38" s="50" t="s">
        <v>89</v>
      </c>
      <c r="K38" s="52">
        <v>0</v>
      </c>
      <c r="L38" s="53">
        <f>IFERROR(COUNTIFS(Checklist!$D:$D,"B4.3",Checklist!$I:$I,"Yes")/COUNTIF(Checklist!$D:$D,"B4.3"),0)</f>
        <v>0</v>
      </c>
      <c r="M38" s="47" t="str">
        <f>IF(AND(J38="Done",K38&lt;1),"Check",IF(AND(J38="In progress",K38=0),"Check",IF(AND(K38&gt;=1,J38&lt;&gt;"Done"),"Check",IF(J38="Done","Done",IF(J38="Blocked","Blocked",IF(AND($C$7&gt;X38,K38&lt;1),"Late",""))))))</f>
        <v/>
      </c>
      <c r="N38" s="54"/>
      <c r="P38" s="38" t="str">
        <f>IF(AND(W38&lt;=5,X38&gt;=1),2,"")</f>
        <v/>
      </c>
      <c r="Q38" s="38">
        <f>IF(AND(W38&lt;=10,X38&gt;=6),2,"")</f>
        <v>2</v>
      </c>
      <c r="R38" s="38" t="str">
        <f>IF(AND(W38&lt;=15,X38&gt;=11),2,"")</f>
        <v/>
      </c>
      <c r="S38" s="38" t="str">
        <f>IF(AND(W38&lt;=20,X38&gt;=16),2,"")</f>
        <v/>
      </c>
      <c r="T38" s="38" t="str">
        <f>IF(AND(W38&lt;=25,X38&gt;=21),2,"")</f>
        <v/>
      </c>
      <c r="U38" s="38" t="str">
        <f>IF(AND(W38&lt;=30,X38&gt;=26),2,"")</f>
        <v/>
      </c>
      <c r="W38" s="26">
        <f>$W$35+INT(SUM(D$36:D38)/8-D38/8+0.0001)</f>
        <v>6</v>
      </c>
      <c r="X38" s="26">
        <f>MAX(W38,$W$35+ROUNDUP(SUM(D$36:D38)/8,0)-1)</f>
        <v>7</v>
      </c>
      <c r="Y38" s="26">
        <f t="shared" si="3"/>
        <v>2</v>
      </c>
      <c r="Z38" s="26" t="s">
        <v>75</v>
      </c>
      <c r="AA38" s="26" t="s">
        <v>11</v>
      </c>
    </row>
    <row r="39" spans="1:30" ht="25.5" x14ac:dyDescent="0.25">
      <c r="A39" s="39" t="s">
        <v>118</v>
      </c>
      <c r="B39" s="40" t="s">
        <v>119</v>
      </c>
      <c r="C39" s="41" t="s">
        <v>11</v>
      </c>
      <c r="D39" s="39">
        <f>SUM(D40:D42)</f>
        <v>11</v>
      </c>
      <c r="E39" s="39">
        <f>ROUNDUP(D39/8,0)</f>
        <v>2</v>
      </c>
      <c r="F39" s="42">
        <f t="shared" si="1"/>
        <v>46308</v>
      </c>
      <c r="G39" s="42">
        <f t="shared" si="2"/>
        <v>46309</v>
      </c>
      <c r="H39" s="43" t="s">
        <v>84</v>
      </c>
      <c r="I39" s="43" t="s">
        <v>120</v>
      </c>
      <c r="J39" s="39" t="str">
        <f>IF(K39&gt;=1,"Done",IF(COUNTIF(J40:J42,"Blocked")&gt;0,"Blocked",IF(OR(K39&gt;0,COUNTIF(J40:J42,"In progress")&gt;0),"In progress","Not started")))</f>
        <v>Not started</v>
      </c>
      <c r="K39" s="44">
        <f>IFERROR(SUMPRODUCT(D40:D42,K40:K42)/D39,0)</f>
        <v>0</v>
      </c>
      <c r="L39" s="45">
        <f>IFERROR(SUMPRODUCT(D40:D42,L40:L42)/D39,0)</f>
        <v>0</v>
      </c>
      <c r="M39" s="46" t="str">
        <f>IF(J39="Done","Done",IF(J39="Blocked","Blocked",IF(AND($C$7&gt;X39,K39&lt;1),"Late","")))</f>
        <v/>
      </c>
      <c r="N39" s="43" t="str">
        <f>IF(COUNTIF(J40:J42,"Blocked")&gt;0,"Blocked subtask — see below","")</f>
        <v/>
      </c>
      <c r="P39" s="38" t="str">
        <f>IF(AND(W39&lt;=5,X39&gt;=1),1,"")</f>
        <v/>
      </c>
      <c r="Q39" s="38">
        <f>IF(AND(W39&lt;=10,X39&gt;=6),1,"")</f>
        <v>1</v>
      </c>
      <c r="R39" s="38" t="str">
        <f>IF(AND(W39&lt;=15,X39&gt;=11),1,"")</f>
        <v/>
      </c>
      <c r="S39" s="38" t="str">
        <f>IF(AND(W39&lt;=20,X39&gt;=16),1,"")</f>
        <v/>
      </c>
      <c r="T39" s="38" t="str">
        <f>IF(AND(W39&lt;=25,X39&gt;=21),1,"")</f>
        <v/>
      </c>
      <c r="U39" s="38" t="str">
        <f>IF(AND(W39&lt;=30,X39&gt;=26),1,"")</f>
        <v/>
      </c>
      <c r="W39" s="26">
        <f>MAX(IFERROR(INDEX($X$14:$X$400,MATCH(AC39,$A$14:$A$400,0)),0),IFERROR(INDEX($X$14:$X$400,MATCH(AD39,$A$14:$A$400,0)),0),IFERROR(INDEX($X$14:$X$400,MATCH(AE39,$A$14:$A$400,0)),0),IFERROR(INDEX($X$14:$X$400,MATCH(AF39,$A$14:$A$400,0)),0),IFERROR(INDEX($X$14:$X$400,MATCH(AG39,$A$14:$A$400,0)),0),IFERROR(INDEX($X$14:$X$400,MATCH(AH39,$A$14:$A$400,0)),0),IFERROR(INDEX($X$14:$X$400,MATCH(AI39,$A$14:$A$400,0)),0),IFERROR(INDEX($X$14:$X$400,MATCH(AB39,$A$14:$A$400,0)),0))+1</f>
        <v>8</v>
      </c>
      <c r="X39" s="26">
        <f>W39+Y39-1</f>
        <v>9</v>
      </c>
      <c r="Y39" s="26">
        <f t="shared" si="3"/>
        <v>2</v>
      </c>
      <c r="Z39" s="26" t="s">
        <v>55</v>
      </c>
      <c r="AA39" s="26" t="s">
        <v>11</v>
      </c>
      <c r="AB39" s="26" t="s">
        <v>106</v>
      </c>
      <c r="AC39" s="26" t="s">
        <v>84</v>
      </c>
    </row>
    <row r="40" spans="1:30" x14ac:dyDescent="0.25">
      <c r="A40" s="47" t="s">
        <v>121</v>
      </c>
      <c r="B40" s="48" t="s">
        <v>122</v>
      </c>
      <c r="C40" s="49" t="s">
        <v>11</v>
      </c>
      <c r="D40" s="50">
        <v>3</v>
      </c>
      <c r="E40" s="47">
        <f>X40-W40+1</f>
        <v>1</v>
      </c>
      <c r="F40" s="51">
        <f t="shared" si="1"/>
        <v>46308</v>
      </c>
      <c r="G40" s="51">
        <f t="shared" si="2"/>
        <v>46308</v>
      </c>
      <c r="H40" s="47"/>
      <c r="I40" s="47"/>
      <c r="J40" s="50" t="s">
        <v>89</v>
      </c>
      <c r="K40" s="52">
        <v>0</v>
      </c>
      <c r="L40" s="53">
        <f>IFERROR(COUNTIFS(Checklist!$D:$D,"A4.1",Checklist!$I:$I,"Yes")/COUNTIF(Checklist!$D:$D,"A4.1"),0)</f>
        <v>0</v>
      </c>
      <c r="M40" s="47" t="str">
        <f>IF(AND(J40="Done",K40&lt;1),"Check",IF(AND(J40="In progress",K40=0),"Check",IF(AND(K40&gt;=1,J40&lt;&gt;"Done"),"Check",IF(J40="Done","Done",IF(J40="Blocked","Blocked",IF(AND($C$7&gt;X40,K40&lt;1),"Late",""))))))</f>
        <v/>
      </c>
      <c r="N40" s="54"/>
      <c r="P40" s="38" t="str">
        <f>IF(AND(W40&lt;=5,X40&gt;=1),2,"")</f>
        <v/>
      </c>
      <c r="Q40" s="38">
        <f>IF(AND(W40&lt;=10,X40&gt;=6),2,"")</f>
        <v>2</v>
      </c>
      <c r="R40" s="38" t="str">
        <f>IF(AND(W40&lt;=15,X40&gt;=11),2,"")</f>
        <v/>
      </c>
      <c r="S40" s="38" t="str">
        <f>IF(AND(W40&lt;=20,X40&gt;=16),2,"")</f>
        <v/>
      </c>
      <c r="T40" s="38" t="str">
        <f>IF(AND(W40&lt;=25,X40&gt;=21),2,"")</f>
        <v/>
      </c>
      <c r="U40" s="38" t="str">
        <f>IF(AND(W40&lt;=30,X40&gt;=26),2,"")</f>
        <v/>
      </c>
      <c r="W40" s="26">
        <f>$W$39+INT(SUM(D$40:D40)/8-D40/8+0.0001)</f>
        <v>8</v>
      </c>
      <c r="X40" s="26">
        <f>MAX(W40,$W$39+ROUNDUP(SUM(D$40:D40)/8,0)-1)</f>
        <v>8</v>
      </c>
      <c r="Y40" s="26">
        <f t="shared" si="3"/>
        <v>1</v>
      </c>
      <c r="Z40" s="26" t="s">
        <v>75</v>
      </c>
      <c r="AA40" s="26" t="s">
        <v>11</v>
      </c>
    </row>
    <row r="41" spans="1:30" x14ac:dyDescent="0.25">
      <c r="A41" s="47" t="s">
        <v>123</v>
      </c>
      <c r="B41" s="48" t="s">
        <v>124</v>
      </c>
      <c r="C41" s="49" t="s">
        <v>11</v>
      </c>
      <c r="D41" s="50">
        <v>4</v>
      </c>
      <c r="E41" s="47">
        <f>X41-W41+1</f>
        <v>1</v>
      </c>
      <c r="F41" s="51">
        <f t="shared" si="1"/>
        <v>46308</v>
      </c>
      <c r="G41" s="51">
        <f t="shared" si="2"/>
        <v>46308</v>
      </c>
      <c r="H41" s="47"/>
      <c r="I41" s="47"/>
      <c r="J41" s="50" t="s">
        <v>89</v>
      </c>
      <c r="K41" s="52">
        <v>0</v>
      </c>
      <c r="L41" s="53">
        <f>IFERROR(COUNTIFS(Checklist!$D:$D,"A4.2",Checklist!$I:$I,"Yes")/COUNTIF(Checklist!$D:$D,"A4.2"),0)</f>
        <v>0</v>
      </c>
      <c r="M41" s="47" t="str">
        <f>IF(AND(J41="Done",K41&lt;1),"Check",IF(AND(J41="In progress",K41=0),"Check",IF(AND(K41&gt;=1,J41&lt;&gt;"Done"),"Check",IF(J41="Done","Done",IF(J41="Blocked","Blocked",IF(AND($C$7&gt;X41,K41&lt;1),"Late",""))))))</f>
        <v/>
      </c>
      <c r="N41" s="54"/>
      <c r="P41" s="38" t="str">
        <f>IF(AND(W41&lt;=5,X41&gt;=1),2,"")</f>
        <v/>
      </c>
      <c r="Q41" s="38">
        <f>IF(AND(W41&lt;=10,X41&gt;=6),2,"")</f>
        <v>2</v>
      </c>
      <c r="R41" s="38" t="str">
        <f>IF(AND(W41&lt;=15,X41&gt;=11),2,"")</f>
        <v/>
      </c>
      <c r="S41" s="38" t="str">
        <f>IF(AND(W41&lt;=20,X41&gt;=16),2,"")</f>
        <v/>
      </c>
      <c r="T41" s="38" t="str">
        <f>IF(AND(W41&lt;=25,X41&gt;=21),2,"")</f>
        <v/>
      </c>
      <c r="U41" s="38" t="str">
        <f>IF(AND(W41&lt;=30,X41&gt;=26),2,"")</f>
        <v/>
      </c>
      <c r="W41" s="26">
        <f>$W$39+INT(SUM(D$40:D41)/8-D41/8+0.0001)</f>
        <v>8</v>
      </c>
      <c r="X41" s="26">
        <f>MAX(W41,$W$39+ROUNDUP(SUM(D$40:D41)/8,0)-1)</f>
        <v>8</v>
      </c>
      <c r="Y41" s="26">
        <f t="shared" si="3"/>
        <v>1</v>
      </c>
      <c r="Z41" s="26" t="s">
        <v>75</v>
      </c>
      <c r="AA41" s="26" t="s">
        <v>11</v>
      </c>
    </row>
    <row r="42" spans="1:30" x14ac:dyDescent="0.25">
      <c r="A42" s="47" t="s">
        <v>125</v>
      </c>
      <c r="B42" s="48" t="s">
        <v>126</v>
      </c>
      <c r="C42" s="49" t="s">
        <v>11</v>
      </c>
      <c r="D42" s="50">
        <v>4</v>
      </c>
      <c r="E42" s="47">
        <f>X42-W42+1</f>
        <v>2</v>
      </c>
      <c r="F42" s="51">
        <f t="shared" si="1"/>
        <v>46308</v>
      </c>
      <c r="G42" s="51">
        <f t="shared" si="2"/>
        <v>46309</v>
      </c>
      <c r="H42" s="47"/>
      <c r="I42" s="47"/>
      <c r="J42" s="50" t="s">
        <v>89</v>
      </c>
      <c r="K42" s="52">
        <v>0</v>
      </c>
      <c r="L42" s="53">
        <f>IFERROR(COUNTIFS(Checklist!$D:$D,"A4.3",Checklist!$I:$I,"Yes")/COUNTIF(Checklist!$D:$D,"A4.3"),0)</f>
        <v>0</v>
      </c>
      <c r="M42" s="47" t="str">
        <f>IF(AND(J42="Done",K42&lt;1),"Check",IF(AND(J42="In progress",K42=0),"Check",IF(AND(K42&gt;=1,J42&lt;&gt;"Done"),"Check",IF(J42="Done","Done",IF(J42="Blocked","Blocked",IF(AND($C$7&gt;X42,K42&lt;1),"Late",""))))))</f>
        <v/>
      </c>
      <c r="N42" s="54"/>
      <c r="P42" s="38" t="str">
        <f>IF(AND(W42&lt;=5,X42&gt;=1),2,"")</f>
        <v/>
      </c>
      <c r="Q42" s="38">
        <f>IF(AND(W42&lt;=10,X42&gt;=6),2,"")</f>
        <v>2</v>
      </c>
      <c r="R42" s="38" t="str">
        <f>IF(AND(W42&lt;=15,X42&gt;=11),2,"")</f>
        <v/>
      </c>
      <c r="S42" s="38" t="str">
        <f>IF(AND(W42&lt;=20,X42&gt;=16),2,"")</f>
        <v/>
      </c>
      <c r="T42" s="38" t="str">
        <f>IF(AND(W42&lt;=25,X42&gt;=21),2,"")</f>
        <v/>
      </c>
      <c r="U42" s="38" t="str">
        <f>IF(AND(W42&lt;=30,X42&gt;=26),2,"")</f>
        <v/>
      </c>
      <c r="W42" s="26">
        <f>$W$39+INT(SUM(D$40:D42)/8-D42/8+0.0001)</f>
        <v>8</v>
      </c>
      <c r="X42" s="26">
        <f>MAX(W42,$W$39+ROUNDUP(SUM(D$40:D42)/8,0)-1)</f>
        <v>9</v>
      </c>
      <c r="Y42" s="26">
        <f t="shared" si="3"/>
        <v>2</v>
      </c>
      <c r="Z42" s="26" t="s">
        <v>75</v>
      </c>
      <c r="AA42" s="26" t="s">
        <v>11</v>
      </c>
    </row>
    <row r="43" spans="1:30" ht="25.5" x14ac:dyDescent="0.25">
      <c r="A43" s="39" t="s">
        <v>127</v>
      </c>
      <c r="B43" s="40" t="s">
        <v>128</v>
      </c>
      <c r="C43" s="41" t="s">
        <v>11</v>
      </c>
      <c r="D43" s="39">
        <f>SUM(D44:D46)</f>
        <v>7</v>
      </c>
      <c r="E43" s="39">
        <f>ROUNDUP(D43/8,0)</f>
        <v>1</v>
      </c>
      <c r="F43" s="42">
        <f t="shared" si="1"/>
        <v>46310</v>
      </c>
      <c r="G43" s="42">
        <f t="shared" si="2"/>
        <v>46310</v>
      </c>
      <c r="H43" s="43" t="s">
        <v>84</v>
      </c>
      <c r="I43" s="43" t="s">
        <v>129</v>
      </c>
      <c r="J43" s="39" t="str">
        <f>IF(K43&gt;=1,"Done",IF(COUNTIF(J44:J46,"Blocked")&gt;0,"Blocked",IF(OR(K43&gt;0,COUNTIF(J44:J46,"In progress")&gt;0),"In progress","Not started")))</f>
        <v>Not started</v>
      </c>
      <c r="K43" s="44">
        <f>IFERROR(SUMPRODUCT(D44:D46,K44:K46)/D43,0)</f>
        <v>0</v>
      </c>
      <c r="L43" s="45">
        <f>IFERROR(SUMPRODUCT(D44:D46,L44:L46)/D43,0)</f>
        <v>0</v>
      </c>
      <c r="M43" s="46" t="str">
        <f>IF(J43="Done","Done",IF(J43="Blocked","Blocked",IF(AND($C$7&gt;X43,K43&lt;1),"Late","")))</f>
        <v/>
      </c>
      <c r="N43" s="43" t="str">
        <f>IF(COUNTIF(J44:J46,"Blocked")&gt;0,"Blocked subtask — see below","")</f>
        <v/>
      </c>
      <c r="P43" s="38" t="str">
        <f>IF(AND(W43&lt;=5,X43&gt;=1),1,"")</f>
        <v/>
      </c>
      <c r="Q43" s="38">
        <f>IF(AND(W43&lt;=10,X43&gt;=6),1,"")</f>
        <v>1</v>
      </c>
      <c r="R43" s="38" t="str">
        <f>IF(AND(W43&lt;=15,X43&gt;=11),1,"")</f>
        <v/>
      </c>
      <c r="S43" s="38" t="str">
        <f>IF(AND(W43&lt;=20,X43&gt;=16),1,"")</f>
        <v/>
      </c>
      <c r="T43" s="38" t="str">
        <f>IF(AND(W43&lt;=25,X43&gt;=21),1,"")</f>
        <v/>
      </c>
      <c r="U43" s="38" t="str">
        <f>IF(AND(W43&lt;=30,X43&gt;=26),1,"")</f>
        <v/>
      </c>
      <c r="W43" s="26">
        <f>MAX(IFERROR(INDEX($X$14:$X$400,MATCH(AC43,$A$14:$A$400,0)),0),IFERROR(INDEX($X$14:$X$400,MATCH(AD43,$A$14:$A$400,0)),0),IFERROR(INDEX($X$14:$X$400,MATCH(AE43,$A$14:$A$400,0)),0),IFERROR(INDEX($X$14:$X$400,MATCH(AF43,$A$14:$A$400,0)),0),IFERROR(INDEX($X$14:$X$400,MATCH(AG43,$A$14:$A$400,0)),0),IFERROR(INDEX($X$14:$X$400,MATCH(AH43,$A$14:$A$400,0)),0),IFERROR(INDEX($X$14:$X$400,MATCH(AI43,$A$14:$A$400,0)),0),IFERROR(INDEX($X$14:$X$400,MATCH(AB43,$A$14:$A$400,0)),0))+1</f>
        <v>10</v>
      </c>
      <c r="X43" s="26">
        <f>W43+Y43-1</f>
        <v>10</v>
      </c>
      <c r="Y43" s="26">
        <f t="shared" si="3"/>
        <v>1</v>
      </c>
      <c r="Z43" s="26" t="s">
        <v>55</v>
      </c>
      <c r="AA43" s="26" t="s">
        <v>11</v>
      </c>
      <c r="AB43" s="26" t="s">
        <v>118</v>
      </c>
      <c r="AC43" s="26" t="s">
        <v>84</v>
      </c>
    </row>
    <row r="44" spans="1:30" x14ac:dyDescent="0.25">
      <c r="A44" s="47" t="s">
        <v>130</v>
      </c>
      <c r="B44" s="48" t="s">
        <v>131</v>
      </c>
      <c r="C44" s="49" t="s">
        <v>11</v>
      </c>
      <c r="D44" s="50">
        <v>1</v>
      </c>
      <c r="E44" s="47">
        <f>X44-W44+1</f>
        <v>1</v>
      </c>
      <c r="F44" s="51">
        <f t="shared" si="1"/>
        <v>46310</v>
      </c>
      <c r="G44" s="51">
        <f t="shared" si="2"/>
        <v>46310</v>
      </c>
      <c r="H44" s="47"/>
      <c r="I44" s="47"/>
      <c r="J44" s="50" t="s">
        <v>89</v>
      </c>
      <c r="K44" s="52">
        <v>0</v>
      </c>
      <c r="L44" s="53">
        <f>IFERROR(COUNTIFS(Checklist!$D:$D,"A3.1",Checklist!$I:$I,"Yes")/COUNTIF(Checklist!$D:$D,"A3.1"),0)</f>
        <v>0</v>
      </c>
      <c r="M44" s="47" t="str">
        <f>IF(AND(J44="Done",K44&lt;1),"Check",IF(AND(J44="In progress",K44=0),"Check",IF(AND(K44&gt;=1,J44&lt;&gt;"Done"),"Check",IF(J44="Done","Done",IF(J44="Blocked","Blocked",IF(AND($C$7&gt;X44,K44&lt;1),"Late",""))))))</f>
        <v/>
      </c>
      <c r="N44" s="54"/>
      <c r="P44" s="38" t="str">
        <f>IF(AND(W44&lt;=5,X44&gt;=1),2,"")</f>
        <v/>
      </c>
      <c r="Q44" s="38">
        <f>IF(AND(W44&lt;=10,X44&gt;=6),2,"")</f>
        <v>2</v>
      </c>
      <c r="R44" s="38" t="str">
        <f>IF(AND(W44&lt;=15,X44&gt;=11),2,"")</f>
        <v/>
      </c>
      <c r="S44" s="38" t="str">
        <f>IF(AND(W44&lt;=20,X44&gt;=16),2,"")</f>
        <v/>
      </c>
      <c r="T44" s="38" t="str">
        <f>IF(AND(W44&lt;=25,X44&gt;=21),2,"")</f>
        <v/>
      </c>
      <c r="U44" s="38" t="str">
        <f>IF(AND(W44&lt;=30,X44&gt;=26),2,"")</f>
        <v/>
      </c>
      <c r="W44" s="26">
        <f>$W$43+INT(SUM(D$44:D44)/8-D44/8+0.0001)</f>
        <v>10</v>
      </c>
      <c r="X44" s="26">
        <f>MAX(W44,$W$43+ROUNDUP(SUM(D$44:D44)/8,0)-1)</f>
        <v>10</v>
      </c>
      <c r="Y44" s="26">
        <f t="shared" si="3"/>
        <v>1</v>
      </c>
      <c r="Z44" s="26" t="s">
        <v>75</v>
      </c>
      <c r="AA44" s="26" t="s">
        <v>11</v>
      </c>
    </row>
    <row r="45" spans="1:30" x14ac:dyDescent="0.25">
      <c r="A45" s="47" t="s">
        <v>132</v>
      </c>
      <c r="B45" s="48" t="s">
        <v>133</v>
      </c>
      <c r="C45" s="49" t="s">
        <v>11</v>
      </c>
      <c r="D45" s="50">
        <v>2</v>
      </c>
      <c r="E45" s="47">
        <f>X45-W45+1</f>
        <v>1</v>
      </c>
      <c r="F45" s="51">
        <f t="shared" si="1"/>
        <v>46310</v>
      </c>
      <c r="G45" s="51">
        <f t="shared" si="2"/>
        <v>46310</v>
      </c>
      <c r="H45" s="47"/>
      <c r="I45" s="47"/>
      <c r="J45" s="50" t="s">
        <v>89</v>
      </c>
      <c r="K45" s="52">
        <v>0</v>
      </c>
      <c r="L45" s="53">
        <f>IFERROR(COUNTIFS(Checklist!$D:$D,"A3.2",Checklist!$I:$I,"Yes")/COUNTIF(Checklist!$D:$D,"A3.2"),0)</f>
        <v>0</v>
      </c>
      <c r="M45" s="47" t="str">
        <f>IF(AND(J45="Done",K45&lt;1),"Check",IF(AND(J45="In progress",K45=0),"Check",IF(AND(K45&gt;=1,J45&lt;&gt;"Done"),"Check",IF(J45="Done","Done",IF(J45="Blocked","Blocked",IF(AND($C$7&gt;X45,K45&lt;1),"Late",""))))))</f>
        <v/>
      </c>
      <c r="N45" s="54"/>
      <c r="P45" s="38" t="str">
        <f>IF(AND(W45&lt;=5,X45&gt;=1),2,"")</f>
        <v/>
      </c>
      <c r="Q45" s="38">
        <f>IF(AND(W45&lt;=10,X45&gt;=6),2,"")</f>
        <v>2</v>
      </c>
      <c r="R45" s="38" t="str">
        <f>IF(AND(W45&lt;=15,X45&gt;=11),2,"")</f>
        <v/>
      </c>
      <c r="S45" s="38" t="str">
        <f>IF(AND(W45&lt;=20,X45&gt;=16),2,"")</f>
        <v/>
      </c>
      <c r="T45" s="38" t="str">
        <f>IF(AND(W45&lt;=25,X45&gt;=21),2,"")</f>
        <v/>
      </c>
      <c r="U45" s="38" t="str">
        <f>IF(AND(W45&lt;=30,X45&gt;=26),2,"")</f>
        <v/>
      </c>
      <c r="W45" s="26">
        <f>$W$43+INT(SUM(D$44:D45)/8-D45/8+0.0001)</f>
        <v>10</v>
      </c>
      <c r="X45" s="26">
        <f>MAX(W45,$W$43+ROUNDUP(SUM(D$44:D45)/8,0)-1)</f>
        <v>10</v>
      </c>
      <c r="Y45" s="26">
        <f t="shared" si="3"/>
        <v>1</v>
      </c>
      <c r="Z45" s="26" t="s">
        <v>75</v>
      </c>
      <c r="AA45" s="26" t="s">
        <v>11</v>
      </c>
    </row>
    <row r="46" spans="1:30" x14ac:dyDescent="0.25">
      <c r="A46" s="47" t="s">
        <v>134</v>
      </c>
      <c r="B46" s="48" t="s">
        <v>135</v>
      </c>
      <c r="C46" s="49" t="s">
        <v>11</v>
      </c>
      <c r="D46" s="50">
        <v>4</v>
      </c>
      <c r="E46" s="47">
        <f>X46-W46+1</f>
        <v>1</v>
      </c>
      <c r="F46" s="51">
        <f t="shared" si="1"/>
        <v>46310</v>
      </c>
      <c r="G46" s="51">
        <f t="shared" si="2"/>
        <v>46310</v>
      </c>
      <c r="H46" s="47"/>
      <c r="I46" s="47"/>
      <c r="J46" s="50" t="s">
        <v>89</v>
      </c>
      <c r="K46" s="52">
        <v>0</v>
      </c>
      <c r="L46" s="53">
        <f>IFERROR(COUNTIFS(Checklist!$D:$D,"A3.3",Checklist!$I:$I,"Yes")/COUNTIF(Checklist!$D:$D,"A3.3"),0)</f>
        <v>0</v>
      </c>
      <c r="M46" s="47" t="str">
        <f>IF(AND(J46="Done",K46&lt;1),"Check",IF(AND(J46="In progress",K46=0),"Check",IF(AND(K46&gt;=1,J46&lt;&gt;"Done"),"Check",IF(J46="Done","Done",IF(J46="Blocked","Blocked",IF(AND($C$7&gt;X46,K46&lt;1),"Late",""))))))</f>
        <v/>
      </c>
      <c r="N46" s="54"/>
      <c r="P46" s="38" t="str">
        <f>IF(AND(W46&lt;=5,X46&gt;=1),2,"")</f>
        <v/>
      </c>
      <c r="Q46" s="38">
        <f>IF(AND(W46&lt;=10,X46&gt;=6),2,"")</f>
        <v>2</v>
      </c>
      <c r="R46" s="38" t="str">
        <f>IF(AND(W46&lt;=15,X46&gt;=11),2,"")</f>
        <v/>
      </c>
      <c r="S46" s="38" t="str">
        <f>IF(AND(W46&lt;=20,X46&gt;=16),2,"")</f>
        <v/>
      </c>
      <c r="T46" s="38" t="str">
        <f>IF(AND(W46&lt;=25,X46&gt;=21),2,"")</f>
        <v/>
      </c>
      <c r="U46" s="38" t="str">
        <f>IF(AND(W46&lt;=30,X46&gt;=26),2,"")</f>
        <v/>
      </c>
      <c r="W46" s="26">
        <f>$W$43+INT(SUM(D$44:D46)/8-D46/8+0.0001)</f>
        <v>10</v>
      </c>
      <c r="X46" s="26">
        <f>MAX(W46,$W$43+ROUNDUP(SUM(D$44:D46)/8,0)-1)</f>
        <v>10</v>
      </c>
      <c r="Y46" s="26">
        <f t="shared" si="3"/>
        <v>1</v>
      </c>
      <c r="Z46" s="26" t="s">
        <v>75</v>
      </c>
      <c r="AA46" s="26" t="s">
        <v>11</v>
      </c>
    </row>
    <row r="47" spans="1:30" x14ac:dyDescent="0.25">
      <c r="A47" s="39" t="s">
        <v>136</v>
      </c>
      <c r="B47" s="40" t="s">
        <v>137</v>
      </c>
      <c r="C47" s="41" t="s">
        <v>11</v>
      </c>
      <c r="D47" s="39">
        <f>SUM(D48:D49)</f>
        <v>10</v>
      </c>
      <c r="E47" s="39">
        <f>ROUNDUP(D47/8,0)</f>
        <v>2</v>
      </c>
      <c r="F47" s="42">
        <f t="shared" si="1"/>
        <v>46313</v>
      </c>
      <c r="G47" s="42">
        <f t="shared" si="2"/>
        <v>46314</v>
      </c>
      <c r="H47" s="43" t="s">
        <v>118</v>
      </c>
      <c r="I47" s="43" t="s">
        <v>138</v>
      </c>
      <c r="J47" s="39" t="str">
        <f>IF(K47&gt;=1,"Done",IF(COUNTIF(J48:J49,"Blocked")&gt;0,"Blocked",IF(OR(K47&gt;0,COUNTIF(J48:J49,"In progress")&gt;0),"In progress","Not started")))</f>
        <v>Not started</v>
      </c>
      <c r="K47" s="44">
        <f>IFERROR(SUMPRODUCT(D48:D49,K48:K49)/D47,0)</f>
        <v>0</v>
      </c>
      <c r="L47" s="45">
        <f>IFERROR(SUMPRODUCT(D48:D49,L48:L49)/D47,0)</f>
        <v>0</v>
      </c>
      <c r="M47" s="46" t="str">
        <f>IF(J47="Done","Done",IF(J47="Blocked","Blocked",IF(AND($C$7&gt;X47,K47&lt;1),"Late","")))</f>
        <v/>
      </c>
      <c r="N47" s="43" t="str">
        <f>IF(COUNTIF(J48:J49,"Blocked")&gt;0,"Blocked subtask — see below","")</f>
        <v/>
      </c>
      <c r="P47" s="38" t="str">
        <f>IF(AND(W47&lt;=5,X47&gt;=1),1,"")</f>
        <v/>
      </c>
      <c r="Q47" s="38" t="str">
        <f>IF(AND(W47&lt;=10,X47&gt;=6),1,"")</f>
        <v/>
      </c>
      <c r="R47" s="38">
        <f>IF(AND(W47&lt;=15,X47&gt;=11),1,"")</f>
        <v>1</v>
      </c>
      <c r="S47" s="38" t="str">
        <f>IF(AND(W47&lt;=20,X47&gt;=16),1,"")</f>
        <v/>
      </c>
      <c r="T47" s="38" t="str">
        <f>IF(AND(W47&lt;=25,X47&gt;=21),1,"")</f>
        <v/>
      </c>
      <c r="U47" s="38" t="str">
        <f>IF(AND(W47&lt;=30,X47&gt;=26),1,"")</f>
        <v/>
      </c>
      <c r="W47" s="26">
        <f>MAX(IFERROR(INDEX($X$14:$X$400,MATCH(AC47,$A$14:$A$400,0)),0),IFERROR(INDEX($X$14:$X$400,MATCH(AD47,$A$14:$A$400,0)),0),IFERROR(INDEX($X$14:$X$400,MATCH(AE47,$A$14:$A$400,0)),0),IFERROR(INDEX($X$14:$X$400,MATCH(AF47,$A$14:$A$400,0)),0),IFERROR(INDEX($X$14:$X$400,MATCH(AG47,$A$14:$A$400,0)),0),IFERROR(INDEX($X$14:$X$400,MATCH(AH47,$A$14:$A$400,0)),0),IFERROR(INDEX($X$14:$X$400,MATCH(AI47,$A$14:$A$400,0)),0),IFERROR(INDEX($X$14:$X$400,MATCH(AB47,$A$14:$A$400,0)),0))+1</f>
        <v>11</v>
      </c>
      <c r="X47" s="26">
        <f>W47+Y47-1</f>
        <v>12</v>
      </c>
      <c r="Y47" s="26">
        <f t="shared" si="3"/>
        <v>2</v>
      </c>
      <c r="Z47" s="26" t="s">
        <v>55</v>
      </c>
      <c r="AA47" s="26" t="s">
        <v>11</v>
      </c>
      <c r="AB47" s="26" t="s">
        <v>127</v>
      </c>
      <c r="AC47" s="26" t="s">
        <v>118</v>
      </c>
    </row>
    <row r="48" spans="1:30" x14ac:dyDescent="0.25">
      <c r="A48" s="47" t="s">
        <v>139</v>
      </c>
      <c r="B48" s="48" t="s">
        <v>140</v>
      </c>
      <c r="C48" s="49" t="s">
        <v>11</v>
      </c>
      <c r="D48" s="50">
        <v>6</v>
      </c>
      <c r="E48" s="47">
        <f>X48-W48+1</f>
        <v>1</v>
      </c>
      <c r="F48" s="51">
        <f t="shared" si="1"/>
        <v>46313</v>
      </c>
      <c r="G48" s="51">
        <f t="shared" si="2"/>
        <v>46313</v>
      </c>
      <c r="H48" s="47"/>
      <c r="I48" s="47"/>
      <c r="J48" s="50" t="s">
        <v>89</v>
      </c>
      <c r="K48" s="52">
        <v>0</v>
      </c>
      <c r="L48" s="53">
        <f>IFERROR(COUNTIFS(Checklist!$D:$D,"A5.1",Checklist!$I:$I,"Yes")/COUNTIF(Checklist!$D:$D,"A5.1"),0)</f>
        <v>0</v>
      </c>
      <c r="M48" s="47" t="str">
        <f>IF(AND(J48="Done",K48&lt;1),"Check",IF(AND(J48="In progress",K48=0),"Check",IF(AND(K48&gt;=1,J48&lt;&gt;"Done"),"Check",IF(J48="Done","Done",IF(J48="Blocked","Blocked",IF(AND($C$7&gt;X48,K48&lt;1),"Late",""))))))</f>
        <v/>
      </c>
      <c r="N48" s="54"/>
      <c r="P48" s="38" t="str">
        <f>IF(AND(W48&lt;=5,X48&gt;=1),2,"")</f>
        <v/>
      </c>
      <c r="Q48" s="38" t="str">
        <f>IF(AND(W48&lt;=10,X48&gt;=6),2,"")</f>
        <v/>
      </c>
      <c r="R48" s="38">
        <f>IF(AND(W48&lt;=15,X48&gt;=11),2,"")</f>
        <v>2</v>
      </c>
      <c r="S48" s="38" t="str">
        <f>IF(AND(W48&lt;=20,X48&gt;=16),2,"")</f>
        <v/>
      </c>
      <c r="T48" s="38" t="str">
        <f>IF(AND(W48&lt;=25,X48&gt;=21),2,"")</f>
        <v/>
      </c>
      <c r="U48" s="38" t="str">
        <f>IF(AND(W48&lt;=30,X48&gt;=26),2,"")</f>
        <v/>
      </c>
      <c r="W48" s="26">
        <f>$W$47+INT(SUM(D$48:D48)/8-D48/8+0.0001)</f>
        <v>11</v>
      </c>
      <c r="X48" s="26">
        <f>MAX(W48,$W$47+ROUNDUP(SUM(D$48:D48)/8,0)-1)</f>
        <v>11</v>
      </c>
      <c r="Y48" s="26">
        <f t="shared" si="3"/>
        <v>1</v>
      </c>
      <c r="Z48" s="26" t="s">
        <v>75</v>
      </c>
      <c r="AA48" s="26" t="s">
        <v>11</v>
      </c>
    </row>
    <row r="49" spans="1:31" x14ac:dyDescent="0.25">
      <c r="A49" s="47" t="s">
        <v>141</v>
      </c>
      <c r="B49" s="48" t="s">
        <v>142</v>
      </c>
      <c r="C49" s="49" t="s">
        <v>11</v>
      </c>
      <c r="D49" s="50">
        <v>4</v>
      </c>
      <c r="E49" s="47">
        <f>X49-W49+1</f>
        <v>2</v>
      </c>
      <c r="F49" s="51">
        <f t="shared" si="1"/>
        <v>46313</v>
      </c>
      <c r="G49" s="51">
        <f t="shared" si="2"/>
        <v>46314</v>
      </c>
      <c r="H49" s="47"/>
      <c r="I49" s="47"/>
      <c r="J49" s="50" t="s">
        <v>89</v>
      </c>
      <c r="K49" s="52">
        <v>0</v>
      </c>
      <c r="L49" s="53">
        <f>IFERROR(COUNTIFS(Checklist!$D:$D,"A5.2",Checklist!$I:$I,"Yes")/COUNTIF(Checklist!$D:$D,"A5.2"),0)</f>
        <v>0</v>
      </c>
      <c r="M49" s="47" t="str">
        <f>IF(AND(J49="Done",K49&lt;1),"Check",IF(AND(J49="In progress",K49=0),"Check",IF(AND(K49&gt;=1,J49&lt;&gt;"Done"),"Check",IF(J49="Done","Done",IF(J49="Blocked","Blocked",IF(AND($C$7&gt;X49,K49&lt;1),"Late",""))))))</f>
        <v/>
      </c>
      <c r="N49" s="54"/>
      <c r="P49" s="38" t="str">
        <f>IF(AND(W49&lt;=5,X49&gt;=1),2,"")</f>
        <v/>
      </c>
      <c r="Q49" s="38" t="str">
        <f>IF(AND(W49&lt;=10,X49&gt;=6),2,"")</f>
        <v/>
      </c>
      <c r="R49" s="38">
        <f>IF(AND(W49&lt;=15,X49&gt;=11),2,"")</f>
        <v>2</v>
      </c>
      <c r="S49" s="38" t="str">
        <f>IF(AND(W49&lt;=20,X49&gt;=16),2,"")</f>
        <v/>
      </c>
      <c r="T49" s="38" t="str">
        <f>IF(AND(W49&lt;=25,X49&gt;=21),2,"")</f>
        <v/>
      </c>
      <c r="U49" s="38" t="str">
        <f>IF(AND(W49&lt;=30,X49&gt;=26),2,"")</f>
        <v/>
      </c>
      <c r="W49" s="26">
        <f>$W$47+INT(SUM(D$48:D49)/8-D49/8+0.0001)</f>
        <v>11</v>
      </c>
      <c r="X49" s="26">
        <f>MAX(W49,$W$47+ROUNDUP(SUM(D$48:D49)/8,0)-1)</f>
        <v>12</v>
      </c>
      <c r="Y49" s="26">
        <f t="shared" si="3"/>
        <v>2</v>
      </c>
      <c r="Z49" s="26" t="s">
        <v>75</v>
      </c>
      <c r="AA49" s="26" t="s">
        <v>11</v>
      </c>
    </row>
    <row r="50" spans="1:31" ht="25.5" x14ac:dyDescent="0.25">
      <c r="A50" s="39" t="s">
        <v>143</v>
      </c>
      <c r="B50" s="40" t="s">
        <v>144</v>
      </c>
      <c r="C50" s="41" t="s">
        <v>11</v>
      </c>
      <c r="D50" s="39">
        <f>SUM(D51:D54)</f>
        <v>15</v>
      </c>
      <c r="E50" s="39">
        <f>ROUNDUP(D50/8,0)</f>
        <v>2</v>
      </c>
      <c r="F50" s="42">
        <f t="shared" si="1"/>
        <v>46315</v>
      </c>
      <c r="G50" s="42">
        <f t="shared" si="2"/>
        <v>46316</v>
      </c>
      <c r="H50" s="43" t="s">
        <v>145</v>
      </c>
      <c r="I50" s="43" t="s">
        <v>146</v>
      </c>
      <c r="J50" s="39" t="str">
        <f>IF(K50&gt;=1,"Done",IF(COUNTIF(J51:J54,"Blocked")&gt;0,"Blocked",IF(OR(K50&gt;0,COUNTIF(J51:J54,"In progress")&gt;0),"In progress","Not started")))</f>
        <v>Not started</v>
      </c>
      <c r="K50" s="44">
        <f>IFERROR(SUMPRODUCT(D51:D54,K51:K54)/D50,0)</f>
        <v>0</v>
      </c>
      <c r="L50" s="45">
        <f>IFERROR(SUMPRODUCT(D51:D54,L51:L54)/D50,0)</f>
        <v>0</v>
      </c>
      <c r="M50" s="46" t="str">
        <f>IF(J50="Done","Done",IF(J50="Blocked","Blocked",IF(AND($C$7&gt;X50,K50&lt;1),"Late","")))</f>
        <v/>
      </c>
      <c r="N50" s="43" t="str">
        <f>IF(COUNTIF(J51:J54,"Blocked")&gt;0,"Blocked subtask — see below","")</f>
        <v/>
      </c>
      <c r="P50" s="38" t="str">
        <f>IF(AND(W50&lt;=5,X50&gt;=1),1,"")</f>
        <v/>
      </c>
      <c r="Q50" s="38" t="str">
        <f>IF(AND(W50&lt;=10,X50&gt;=6),1,"")</f>
        <v/>
      </c>
      <c r="R50" s="38">
        <f>IF(AND(W50&lt;=15,X50&gt;=11),1,"")</f>
        <v>1</v>
      </c>
      <c r="S50" s="38" t="str">
        <f>IF(AND(W50&lt;=20,X50&gt;=16),1,"")</f>
        <v/>
      </c>
      <c r="T50" s="38" t="str">
        <f>IF(AND(W50&lt;=25,X50&gt;=21),1,"")</f>
        <v/>
      </c>
      <c r="U50" s="38" t="str">
        <f>IF(AND(W50&lt;=30,X50&gt;=26),1,"")</f>
        <v/>
      </c>
      <c r="W50" s="26">
        <f>MAX(IFERROR(INDEX($X$14:$X$400,MATCH(AC50,$A$14:$A$400,0)),0),IFERROR(INDEX($X$14:$X$400,MATCH(AD50,$A$14:$A$400,0)),0),IFERROR(INDEX($X$14:$X$400,MATCH(AE50,$A$14:$A$400,0)),0),IFERROR(INDEX($X$14:$X$400,MATCH(AF50,$A$14:$A$400,0)),0),IFERROR(INDEX($X$14:$X$400,MATCH(AG50,$A$14:$A$400,0)),0),IFERROR(INDEX($X$14:$X$400,MATCH(AH50,$A$14:$A$400,0)),0),IFERROR(INDEX($X$14:$X$400,MATCH(AI50,$A$14:$A$400,0)),0),IFERROR(INDEX($X$14:$X$400,MATCH(AB50,$A$14:$A$400,0)),0))+1</f>
        <v>13</v>
      </c>
      <c r="X50" s="26">
        <f>W50+Y50-1</f>
        <v>14</v>
      </c>
      <c r="Y50" s="26">
        <f t="shared" si="3"/>
        <v>2</v>
      </c>
      <c r="Z50" s="26" t="s">
        <v>55</v>
      </c>
      <c r="AA50" s="26" t="s">
        <v>11</v>
      </c>
      <c r="AB50" s="26" t="s">
        <v>136</v>
      </c>
      <c r="AC50" s="26" t="s">
        <v>145</v>
      </c>
    </row>
    <row r="51" spans="1:31" x14ac:dyDescent="0.25">
      <c r="A51" s="47" t="s">
        <v>147</v>
      </c>
      <c r="B51" s="48" t="s">
        <v>148</v>
      </c>
      <c r="C51" s="49" t="s">
        <v>11</v>
      </c>
      <c r="D51" s="50">
        <v>4</v>
      </c>
      <c r="E51" s="47">
        <f>X51-W51+1</f>
        <v>1</v>
      </c>
      <c r="F51" s="51">
        <f t="shared" si="1"/>
        <v>46315</v>
      </c>
      <c r="G51" s="51">
        <f t="shared" si="2"/>
        <v>46315</v>
      </c>
      <c r="H51" s="47"/>
      <c r="I51" s="47"/>
      <c r="J51" s="50" t="s">
        <v>89</v>
      </c>
      <c r="K51" s="52">
        <v>0</v>
      </c>
      <c r="L51" s="53">
        <f>IFERROR(COUNTIFS(Checklist!$D:$D,"A7.1",Checklist!$I:$I,"Yes")/COUNTIF(Checklist!$D:$D,"A7.1"),0)</f>
        <v>0</v>
      </c>
      <c r="M51" s="47" t="str">
        <f>IF(AND(J51="Done",K51&lt;1),"Check",IF(AND(J51="In progress",K51=0),"Check",IF(AND(K51&gt;=1,J51&lt;&gt;"Done"),"Check",IF(J51="Done","Done",IF(J51="Blocked","Blocked",IF(AND($C$7&gt;X51,K51&lt;1),"Late",""))))))</f>
        <v/>
      </c>
      <c r="N51" s="54"/>
      <c r="P51" s="38" t="str">
        <f>IF(AND(W51&lt;=5,X51&gt;=1),2,"")</f>
        <v/>
      </c>
      <c r="Q51" s="38" t="str">
        <f>IF(AND(W51&lt;=10,X51&gt;=6),2,"")</f>
        <v/>
      </c>
      <c r="R51" s="38">
        <f>IF(AND(W51&lt;=15,X51&gt;=11),2,"")</f>
        <v>2</v>
      </c>
      <c r="S51" s="38" t="str">
        <f>IF(AND(W51&lt;=20,X51&gt;=16),2,"")</f>
        <v/>
      </c>
      <c r="T51" s="38" t="str">
        <f>IF(AND(W51&lt;=25,X51&gt;=21),2,"")</f>
        <v/>
      </c>
      <c r="U51" s="38" t="str">
        <f>IF(AND(W51&lt;=30,X51&gt;=26),2,"")</f>
        <v/>
      </c>
      <c r="W51" s="26">
        <f>$W$50+INT(SUM(D$51:D51)/8-D51/8+0.0001)</f>
        <v>13</v>
      </c>
      <c r="X51" s="26">
        <f>MAX(W51,$W$50+ROUNDUP(SUM(D$51:D51)/8,0)-1)</f>
        <v>13</v>
      </c>
      <c r="Y51" s="26">
        <f t="shared" si="3"/>
        <v>1</v>
      </c>
      <c r="Z51" s="26" t="s">
        <v>75</v>
      </c>
      <c r="AA51" s="26" t="s">
        <v>11</v>
      </c>
    </row>
    <row r="52" spans="1:31" x14ac:dyDescent="0.25">
      <c r="A52" s="47" t="s">
        <v>149</v>
      </c>
      <c r="B52" s="48" t="s">
        <v>150</v>
      </c>
      <c r="C52" s="49" t="s">
        <v>11</v>
      </c>
      <c r="D52" s="50">
        <v>6</v>
      </c>
      <c r="E52" s="47">
        <f>X52-W52+1</f>
        <v>2</v>
      </c>
      <c r="F52" s="51">
        <f t="shared" si="1"/>
        <v>46315</v>
      </c>
      <c r="G52" s="51">
        <f t="shared" si="2"/>
        <v>46316</v>
      </c>
      <c r="H52" s="47"/>
      <c r="I52" s="47"/>
      <c r="J52" s="50" t="s">
        <v>89</v>
      </c>
      <c r="K52" s="52">
        <v>0</v>
      </c>
      <c r="L52" s="53">
        <f>IFERROR(COUNTIFS(Checklist!$D:$D,"A7.2",Checklist!$I:$I,"Yes")/COUNTIF(Checklist!$D:$D,"A7.2"),0)</f>
        <v>0</v>
      </c>
      <c r="M52" s="47" t="str">
        <f>IF(AND(J52="Done",K52&lt;1),"Check",IF(AND(J52="In progress",K52=0),"Check",IF(AND(K52&gt;=1,J52&lt;&gt;"Done"),"Check",IF(J52="Done","Done",IF(J52="Blocked","Blocked",IF(AND($C$7&gt;X52,K52&lt;1),"Late",""))))))</f>
        <v/>
      </c>
      <c r="N52" s="54"/>
      <c r="P52" s="38" t="str">
        <f>IF(AND(W52&lt;=5,X52&gt;=1),2,"")</f>
        <v/>
      </c>
      <c r="Q52" s="38" t="str">
        <f>IF(AND(W52&lt;=10,X52&gt;=6),2,"")</f>
        <v/>
      </c>
      <c r="R52" s="38">
        <f>IF(AND(W52&lt;=15,X52&gt;=11),2,"")</f>
        <v>2</v>
      </c>
      <c r="S52" s="38" t="str">
        <f>IF(AND(W52&lt;=20,X52&gt;=16),2,"")</f>
        <v/>
      </c>
      <c r="T52" s="38" t="str">
        <f>IF(AND(W52&lt;=25,X52&gt;=21),2,"")</f>
        <v/>
      </c>
      <c r="U52" s="38" t="str">
        <f>IF(AND(W52&lt;=30,X52&gt;=26),2,"")</f>
        <v/>
      </c>
      <c r="W52" s="26">
        <f>$W$50+INT(SUM(D$51:D52)/8-D52/8+0.0001)</f>
        <v>13</v>
      </c>
      <c r="X52" s="26">
        <f>MAX(W52,$W$50+ROUNDUP(SUM(D$51:D52)/8,0)-1)</f>
        <v>14</v>
      </c>
      <c r="Y52" s="26">
        <f t="shared" si="3"/>
        <v>2</v>
      </c>
      <c r="Z52" s="26" t="s">
        <v>75</v>
      </c>
      <c r="AA52" s="26" t="s">
        <v>11</v>
      </c>
    </row>
    <row r="53" spans="1:31" x14ac:dyDescent="0.25">
      <c r="A53" s="47" t="s">
        <v>151</v>
      </c>
      <c r="B53" s="48" t="s">
        <v>152</v>
      </c>
      <c r="C53" s="49" t="s">
        <v>11</v>
      </c>
      <c r="D53" s="50">
        <v>2</v>
      </c>
      <c r="E53" s="47">
        <f>X53-W53+1</f>
        <v>1</v>
      </c>
      <c r="F53" s="51">
        <f t="shared" si="1"/>
        <v>46316</v>
      </c>
      <c r="G53" s="51">
        <f t="shared" si="2"/>
        <v>46316</v>
      </c>
      <c r="H53" s="47"/>
      <c r="I53" s="47"/>
      <c r="J53" s="50" t="s">
        <v>89</v>
      </c>
      <c r="K53" s="52">
        <v>0</v>
      </c>
      <c r="L53" s="53">
        <f>IFERROR(COUNTIFS(Checklist!$D:$D,"A7.3",Checklist!$I:$I,"Yes")/COUNTIF(Checklist!$D:$D,"A7.3"),0)</f>
        <v>0</v>
      </c>
      <c r="M53" s="47" t="str">
        <f>IF(AND(J53="Done",K53&lt;1),"Check",IF(AND(J53="In progress",K53=0),"Check",IF(AND(K53&gt;=1,J53&lt;&gt;"Done"),"Check",IF(J53="Done","Done",IF(J53="Blocked","Blocked",IF(AND($C$7&gt;X53,K53&lt;1),"Late",""))))))</f>
        <v/>
      </c>
      <c r="N53" s="54"/>
      <c r="P53" s="38" t="str">
        <f>IF(AND(W53&lt;=5,X53&gt;=1),2,"")</f>
        <v/>
      </c>
      <c r="Q53" s="38" t="str">
        <f>IF(AND(W53&lt;=10,X53&gt;=6),2,"")</f>
        <v/>
      </c>
      <c r="R53" s="38">
        <f>IF(AND(W53&lt;=15,X53&gt;=11),2,"")</f>
        <v>2</v>
      </c>
      <c r="S53" s="38" t="str">
        <f>IF(AND(W53&lt;=20,X53&gt;=16),2,"")</f>
        <v/>
      </c>
      <c r="T53" s="38" t="str">
        <f>IF(AND(W53&lt;=25,X53&gt;=21),2,"")</f>
        <v/>
      </c>
      <c r="U53" s="38" t="str">
        <f>IF(AND(W53&lt;=30,X53&gt;=26),2,"")</f>
        <v/>
      </c>
      <c r="W53" s="26">
        <f>$W$50+INT(SUM(D$51:D53)/8-D53/8+0.0001)</f>
        <v>14</v>
      </c>
      <c r="X53" s="26">
        <f>MAX(W53,$W$50+ROUNDUP(SUM(D$51:D53)/8,0)-1)</f>
        <v>14</v>
      </c>
      <c r="Y53" s="26">
        <f t="shared" si="3"/>
        <v>1</v>
      </c>
      <c r="Z53" s="26" t="s">
        <v>75</v>
      </c>
      <c r="AA53" s="26" t="s">
        <v>11</v>
      </c>
    </row>
    <row r="54" spans="1:31" x14ac:dyDescent="0.25">
      <c r="A54" s="47" t="s">
        <v>153</v>
      </c>
      <c r="B54" s="48" t="s">
        <v>154</v>
      </c>
      <c r="C54" s="49" t="s">
        <v>11</v>
      </c>
      <c r="D54" s="50">
        <v>3</v>
      </c>
      <c r="E54" s="47">
        <f>X54-W54+1</f>
        <v>1</v>
      </c>
      <c r="F54" s="51">
        <f t="shared" si="1"/>
        <v>46316</v>
      </c>
      <c r="G54" s="51">
        <f t="shared" si="2"/>
        <v>46316</v>
      </c>
      <c r="H54" s="47"/>
      <c r="I54" s="47"/>
      <c r="J54" s="50" t="s">
        <v>89</v>
      </c>
      <c r="K54" s="52">
        <v>0</v>
      </c>
      <c r="L54" s="53">
        <f>IFERROR(COUNTIFS(Checklist!$D:$D,"A7.4",Checklist!$I:$I,"Yes")/COUNTIF(Checklist!$D:$D,"A7.4"),0)</f>
        <v>0</v>
      </c>
      <c r="M54" s="47" t="str">
        <f>IF(AND(J54="Done",K54&lt;1),"Check",IF(AND(J54="In progress",K54=0),"Check",IF(AND(K54&gt;=1,J54&lt;&gt;"Done"),"Check",IF(J54="Done","Done",IF(J54="Blocked","Blocked",IF(AND($C$7&gt;X54,K54&lt;1),"Late",""))))))</f>
        <v/>
      </c>
      <c r="N54" s="54"/>
      <c r="P54" s="38" t="str">
        <f>IF(AND(W54&lt;=5,X54&gt;=1),2,"")</f>
        <v/>
      </c>
      <c r="Q54" s="38" t="str">
        <f>IF(AND(W54&lt;=10,X54&gt;=6),2,"")</f>
        <v/>
      </c>
      <c r="R54" s="38">
        <f>IF(AND(W54&lt;=15,X54&gt;=11),2,"")</f>
        <v>2</v>
      </c>
      <c r="S54" s="38" t="str">
        <f>IF(AND(W54&lt;=20,X54&gt;=16),2,"")</f>
        <v/>
      </c>
      <c r="T54" s="38" t="str">
        <f>IF(AND(W54&lt;=25,X54&gt;=21),2,"")</f>
        <v/>
      </c>
      <c r="U54" s="38" t="str">
        <f>IF(AND(W54&lt;=30,X54&gt;=26),2,"")</f>
        <v/>
      </c>
      <c r="W54" s="26">
        <f>$W$50+INT(SUM(D$51:D54)/8-D54/8+0.0001)</f>
        <v>14</v>
      </c>
      <c r="X54" s="26">
        <f>MAX(W54,$W$50+ROUNDUP(SUM(D$51:D54)/8,0)-1)</f>
        <v>14</v>
      </c>
      <c r="Y54" s="26">
        <f t="shared" si="3"/>
        <v>1</v>
      </c>
      <c r="Z54" s="26" t="s">
        <v>75</v>
      </c>
      <c r="AA54" s="26" t="s">
        <v>11</v>
      </c>
    </row>
    <row r="55" spans="1:31" ht="25.5" x14ac:dyDescent="0.25">
      <c r="A55" s="39" t="s">
        <v>155</v>
      </c>
      <c r="B55" s="40" t="s">
        <v>156</v>
      </c>
      <c r="C55" s="41" t="s">
        <v>11</v>
      </c>
      <c r="D55" s="39">
        <f>SUM(D56:D58)</f>
        <v>12</v>
      </c>
      <c r="E55" s="39">
        <f>ROUNDUP(D55/8,0)</f>
        <v>2</v>
      </c>
      <c r="F55" s="42">
        <f t="shared" si="1"/>
        <v>46317</v>
      </c>
      <c r="G55" s="42">
        <f t="shared" si="2"/>
        <v>46320</v>
      </c>
      <c r="H55" s="43" t="s">
        <v>157</v>
      </c>
      <c r="I55" s="43" t="s">
        <v>158</v>
      </c>
      <c r="J55" s="39" t="str">
        <f>IF(K55&gt;=1,"Done",IF(COUNTIF(J56:J58,"Blocked")&gt;0,"Blocked",IF(OR(K55&gt;0,COUNTIF(J56:J58,"In progress")&gt;0),"In progress","Not started")))</f>
        <v>Not started</v>
      </c>
      <c r="K55" s="44">
        <f>IFERROR(SUMPRODUCT(D56:D58,K56:K58)/D55,0)</f>
        <v>0</v>
      </c>
      <c r="L55" s="45">
        <f>IFERROR(SUMPRODUCT(D56:D58,L56:L58)/D55,0)</f>
        <v>0</v>
      </c>
      <c r="M55" s="46" t="str">
        <f>IF(J55="Done","Done",IF(J55="Blocked","Blocked",IF(AND($C$7&gt;X55,K55&lt;1),"Late","")))</f>
        <v/>
      </c>
      <c r="N55" s="43" t="str">
        <f>IF(COUNTIF(J56:J58,"Blocked")&gt;0,"Blocked subtask — see below","")</f>
        <v/>
      </c>
      <c r="P55" s="38" t="str">
        <f>IF(AND(W55&lt;=5,X55&gt;=1),1,"")</f>
        <v/>
      </c>
      <c r="Q55" s="38" t="str">
        <f>IF(AND(W55&lt;=10,X55&gt;=6),1,"")</f>
        <v/>
      </c>
      <c r="R55" s="38">
        <f>IF(AND(W55&lt;=15,X55&gt;=11),1,"")</f>
        <v>1</v>
      </c>
      <c r="S55" s="38">
        <f>IF(AND(W55&lt;=20,X55&gt;=16),1,"")</f>
        <v>1</v>
      </c>
      <c r="T55" s="38" t="str">
        <f>IF(AND(W55&lt;=25,X55&gt;=21),1,"")</f>
        <v/>
      </c>
      <c r="U55" s="38" t="str">
        <f>IF(AND(W55&lt;=30,X55&gt;=26),1,"")</f>
        <v/>
      </c>
      <c r="W55" s="26">
        <f>MAX(IFERROR(INDEX($X$14:$X$400,MATCH(AC55,$A$14:$A$400,0)),0),IFERROR(INDEX($X$14:$X$400,MATCH(AD55,$A$14:$A$400,0)),0),IFERROR(INDEX($X$14:$X$400,MATCH(AE55,$A$14:$A$400,0)),0),IFERROR(INDEX($X$14:$X$400,MATCH(AF55,$A$14:$A$400,0)),0),IFERROR(INDEX($X$14:$X$400,MATCH(AG55,$A$14:$A$400,0)),0),IFERROR(INDEX($X$14:$X$400,MATCH(AH55,$A$14:$A$400,0)),0),IFERROR(INDEX($X$14:$X$400,MATCH(AI55,$A$14:$A$400,0)),0),IFERROR(INDEX($X$14:$X$400,MATCH(AB55,$A$14:$A$400,0)),0))+1</f>
        <v>15</v>
      </c>
      <c r="X55" s="26">
        <f>W55+Y55-1</f>
        <v>16</v>
      </c>
      <c r="Y55" s="26">
        <f t="shared" si="3"/>
        <v>2</v>
      </c>
      <c r="Z55" s="26" t="s">
        <v>55</v>
      </c>
      <c r="AA55" s="26" t="s">
        <v>11</v>
      </c>
      <c r="AB55" s="26" t="s">
        <v>143</v>
      </c>
      <c r="AC55" s="26" t="s">
        <v>136</v>
      </c>
      <c r="AD55" s="26" t="s">
        <v>143</v>
      </c>
      <c r="AE55" s="26" t="s">
        <v>145</v>
      </c>
    </row>
    <row r="56" spans="1:31" x14ac:dyDescent="0.25">
      <c r="A56" s="47" t="s">
        <v>159</v>
      </c>
      <c r="B56" s="48" t="s">
        <v>160</v>
      </c>
      <c r="C56" s="49" t="s">
        <v>11</v>
      </c>
      <c r="D56" s="50">
        <v>5</v>
      </c>
      <c r="E56" s="47">
        <f>X56-W56+1</f>
        <v>1</v>
      </c>
      <c r="F56" s="51">
        <f t="shared" si="1"/>
        <v>46317</v>
      </c>
      <c r="G56" s="51">
        <f t="shared" si="2"/>
        <v>46317</v>
      </c>
      <c r="H56" s="47"/>
      <c r="I56" s="47"/>
      <c r="J56" s="50" t="s">
        <v>89</v>
      </c>
      <c r="K56" s="52">
        <v>0</v>
      </c>
      <c r="L56" s="53">
        <f>IFERROR(COUNTIFS(Checklist!$D:$D,"A6.1",Checklist!$I:$I,"Yes")/COUNTIF(Checklist!$D:$D,"A6.1"),0)</f>
        <v>0</v>
      </c>
      <c r="M56" s="47" t="str">
        <f>IF(AND(J56="Done",K56&lt;1),"Check",IF(AND(J56="In progress",K56=0),"Check",IF(AND(K56&gt;=1,J56&lt;&gt;"Done"),"Check",IF(J56="Done","Done",IF(J56="Blocked","Blocked",IF(AND($C$7&gt;X56,K56&lt;1),"Late",""))))))</f>
        <v/>
      </c>
      <c r="N56" s="54"/>
      <c r="P56" s="38" t="str">
        <f>IF(AND(W56&lt;=5,X56&gt;=1),2,"")</f>
        <v/>
      </c>
      <c r="Q56" s="38" t="str">
        <f>IF(AND(W56&lt;=10,X56&gt;=6),2,"")</f>
        <v/>
      </c>
      <c r="R56" s="38">
        <f>IF(AND(W56&lt;=15,X56&gt;=11),2,"")</f>
        <v>2</v>
      </c>
      <c r="S56" s="38" t="str">
        <f>IF(AND(W56&lt;=20,X56&gt;=16),2,"")</f>
        <v/>
      </c>
      <c r="T56" s="38" t="str">
        <f>IF(AND(W56&lt;=25,X56&gt;=21),2,"")</f>
        <v/>
      </c>
      <c r="U56" s="38" t="str">
        <f>IF(AND(W56&lt;=30,X56&gt;=26),2,"")</f>
        <v/>
      </c>
      <c r="W56" s="26">
        <f>$W$55+INT(SUM(D$56:D56)/8-D56/8+0.0001)</f>
        <v>15</v>
      </c>
      <c r="X56" s="26">
        <f>MAX(W56,$W$55+ROUNDUP(SUM(D$56:D56)/8,0)-1)</f>
        <v>15</v>
      </c>
      <c r="Y56" s="26">
        <f t="shared" si="3"/>
        <v>1</v>
      </c>
      <c r="Z56" s="26" t="s">
        <v>75</v>
      </c>
      <c r="AA56" s="26" t="s">
        <v>11</v>
      </c>
    </row>
    <row r="57" spans="1:31" x14ac:dyDescent="0.25">
      <c r="A57" s="47" t="s">
        <v>161</v>
      </c>
      <c r="B57" s="48" t="s">
        <v>162</v>
      </c>
      <c r="C57" s="49" t="s">
        <v>11</v>
      </c>
      <c r="D57" s="50">
        <v>3</v>
      </c>
      <c r="E57" s="47">
        <f>X57-W57+1</f>
        <v>1</v>
      </c>
      <c r="F57" s="51">
        <f t="shared" si="1"/>
        <v>46317</v>
      </c>
      <c r="G57" s="51">
        <f t="shared" si="2"/>
        <v>46317</v>
      </c>
      <c r="H57" s="47"/>
      <c r="I57" s="47"/>
      <c r="J57" s="50" t="s">
        <v>89</v>
      </c>
      <c r="K57" s="52">
        <v>0</v>
      </c>
      <c r="L57" s="53">
        <f>IFERROR(COUNTIFS(Checklist!$D:$D,"A6.2",Checklist!$I:$I,"Yes")/COUNTIF(Checklist!$D:$D,"A6.2"),0)</f>
        <v>0</v>
      </c>
      <c r="M57" s="47" t="str">
        <f>IF(AND(J57="Done",K57&lt;1),"Check",IF(AND(J57="In progress",K57=0),"Check",IF(AND(K57&gt;=1,J57&lt;&gt;"Done"),"Check",IF(J57="Done","Done",IF(J57="Blocked","Blocked",IF(AND($C$7&gt;X57,K57&lt;1),"Late",""))))))</f>
        <v/>
      </c>
      <c r="N57" s="54"/>
      <c r="P57" s="38" t="str">
        <f>IF(AND(W57&lt;=5,X57&gt;=1),2,"")</f>
        <v/>
      </c>
      <c r="Q57" s="38" t="str">
        <f>IF(AND(W57&lt;=10,X57&gt;=6),2,"")</f>
        <v/>
      </c>
      <c r="R57" s="38">
        <f>IF(AND(W57&lt;=15,X57&gt;=11),2,"")</f>
        <v>2</v>
      </c>
      <c r="S57" s="38" t="str">
        <f>IF(AND(W57&lt;=20,X57&gt;=16),2,"")</f>
        <v/>
      </c>
      <c r="T57" s="38" t="str">
        <f>IF(AND(W57&lt;=25,X57&gt;=21),2,"")</f>
        <v/>
      </c>
      <c r="U57" s="38" t="str">
        <f>IF(AND(W57&lt;=30,X57&gt;=26),2,"")</f>
        <v/>
      </c>
      <c r="W57" s="26">
        <f>$W$55+INT(SUM(D$56:D57)/8-D57/8+0.0001)</f>
        <v>15</v>
      </c>
      <c r="X57" s="26">
        <f>MAX(W57,$W$55+ROUNDUP(SUM(D$56:D57)/8,0)-1)</f>
        <v>15</v>
      </c>
      <c r="Y57" s="26">
        <f t="shared" si="3"/>
        <v>1</v>
      </c>
      <c r="Z57" s="26" t="s">
        <v>75</v>
      </c>
      <c r="AA57" s="26" t="s">
        <v>11</v>
      </c>
    </row>
    <row r="58" spans="1:31" x14ac:dyDescent="0.25">
      <c r="A58" s="47" t="s">
        <v>163</v>
      </c>
      <c r="B58" s="48" t="s">
        <v>164</v>
      </c>
      <c r="C58" s="49" t="s">
        <v>11</v>
      </c>
      <c r="D58" s="50">
        <v>4</v>
      </c>
      <c r="E58" s="47">
        <f>X58-W58+1</f>
        <v>1</v>
      </c>
      <c r="F58" s="51">
        <f t="shared" si="1"/>
        <v>46320</v>
      </c>
      <c r="G58" s="51">
        <f t="shared" si="2"/>
        <v>46320</v>
      </c>
      <c r="H58" s="47"/>
      <c r="I58" s="47"/>
      <c r="J58" s="50" t="s">
        <v>89</v>
      </c>
      <c r="K58" s="52">
        <v>0</v>
      </c>
      <c r="L58" s="53">
        <f>IFERROR(COUNTIFS(Checklist!$D:$D,"A6.3",Checklist!$I:$I,"Yes")/COUNTIF(Checklist!$D:$D,"A6.3"),0)</f>
        <v>0</v>
      </c>
      <c r="M58" s="47" t="str">
        <f>IF(AND(J58="Done",K58&lt;1),"Check",IF(AND(J58="In progress",K58=0),"Check",IF(AND(K58&gt;=1,J58&lt;&gt;"Done"),"Check",IF(J58="Done","Done",IF(J58="Blocked","Blocked",IF(AND($C$7&gt;X58,K58&lt;1),"Late",""))))))</f>
        <v/>
      </c>
      <c r="N58" s="54"/>
      <c r="P58" s="38" t="str">
        <f>IF(AND(W58&lt;=5,X58&gt;=1),2,"")</f>
        <v/>
      </c>
      <c r="Q58" s="38" t="str">
        <f>IF(AND(W58&lt;=10,X58&gt;=6),2,"")</f>
        <v/>
      </c>
      <c r="R58" s="38" t="str">
        <f>IF(AND(W58&lt;=15,X58&gt;=11),2,"")</f>
        <v/>
      </c>
      <c r="S58" s="38">
        <f>IF(AND(W58&lt;=20,X58&gt;=16),2,"")</f>
        <v>2</v>
      </c>
      <c r="T58" s="38" t="str">
        <f>IF(AND(W58&lt;=25,X58&gt;=21),2,"")</f>
        <v/>
      </c>
      <c r="U58" s="38" t="str">
        <f>IF(AND(W58&lt;=30,X58&gt;=26),2,"")</f>
        <v/>
      </c>
      <c r="W58" s="26">
        <f>$W$55+INT(SUM(D$56:D58)/8-D58/8+0.0001)</f>
        <v>16</v>
      </c>
      <c r="X58" s="26">
        <f>MAX(W58,$W$55+ROUNDUP(SUM(D$56:D58)/8,0)-1)</f>
        <v>16</v>
      </c>
      <c r="Y58" s="26">
        <f t="shared" si="3"/>
        <v>1</v>
      </c>
      <c r="Z58" s="26" t="s">
        <v>75</v>
      </c>
      <c r="AA58" s="26" t="s">
        <v>11</v>
      </c>
    </row>
    <row r="59" spans="1:31" x14ac:dyDescent="0.25">
      <c r="A59" s="3" t="s">
        <v>165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P59" s="8"/>
      <c r="Q59" s="8"/>
      <c r="R59" s="8"/>
      <c r="S59" s="8"/>
      <c r="T59" s="8"/>
      <c r="U59" s="8"/>
    </row>
    <row r="60" spans="1:31" ht="25.5" x14ac:dyDescent="0.25">
      <c r="A60" s="55" t="s">
        <v>98</v>
      </c>
      <c r="B60" s="56" t="s">
        <v>166</v>
      </c>
      <c r="C60" s="57" t="s">
        <v>13</v>
      </c>
      <c r="D60" s="55">
        <f>SUM(D61:D64)</f>
        <v>14</v>
      </c>
      <c r="E60" s="55">
        <f>ROUNDUP(D60/8,0)</f>
        <v>2</v>
      </c>
      <c r="F60" s="58">
        <f t="shared" ref="F60:F91" si="4">$C$5+INT((W60-1)/5)*7+MOD(W60-1,5)</f>
        <v>46299</v>
      </c>
      <c r="G60" s="58">
        <f t="shared" ref="G60:G91" si="5">$C$5+INT((X60-1)/5)*7+MOD(X60-1,5)</f>
        <v>46300</v>
      </c>
      <c r="H60" s="59" t="s">
        <v>18</v>
      </c>
      <c r="I60" s="59" t="s">
        <v>167</v>
      </c>
      <c r="J60" s="55" t="str">
        <f>IF(K60&gt;=1,"Done",IF(COUNTIF(J61:J64,"Blocked")&gt;0,"Blocked",IF(OR(K60&gt;0,COUNTIF(J61:J64,"In progress")&gt;0),"In progress","Not started")))</f>
        <v>In progress</v>
      </c>
      <c r="K60" s="60">
        <f>IFERROR(SUMPRODUCT(D61:D64,K61:K64)/D60,0)</f>
        <v>0.77142857142857146</v>
      </c>
      <c r="L60" s="61">
        <f>IFERROR(SUMPRODUCT(D61:D64,L61:L64)/D60,0)</f>
        <v>0</v>
      </c>
      <c r="M60" s="62" t="str">
        <f>IF(J60="Done","Done",IF(J60="Blocked","Blocked",IF(AND($C$7&gt;X60,K60&lt;1),"Late","")))</f>
        <v/>
      </c>
      <c r="N60" s="59" t="str">
        <f>IF(COUNTIF(J61:J64,"Blocked")&gt;0,"Blocked subtask — see below","")</f>
        <v/>
      </c>
      <c r="P60" s="38">
        <f>IF(AND(W60&lt;=5,X60&gt;=1),1,"")</f>
        <v>1</v>
      </c>
      <c r="Q60" s="38" t="str">
        <f>IF(AND(W60&lt;=10,X60&gt;=6),1,"")</f>
        <v/>
      </c>
      <c r="R60" s="38" t="str">
        <f>IF(AND(W60&lt;=15,X60&gt;=11),1,"")</f>
        <v/>
      </c>
      <c r="S60" s="38" t="str">
        <f>IF(AND(W60&lt;=20,X60&gt;=16),1,"")</f>
        <v/>
      </c>
      <c r="T60" s="38" t="str">
        <f>IF(AND(W60&lt;=25,X60&gt;=21),1,"")</f>
        <v/>
      </c>
      <c r="U60" s="38" t="str">
        <f>IF(AND(W60&lt;=30,X60&gt;=26),1,"")</f>
        <v/>
      </c>
      <c r="W60" s="26">
        <f>MAX(IFERROR(INDEX($X$14:$X$400,MATCH(AC60,$A$14:$A$400,0)),0),IFERROR(INDEX($X$14:$X$400,MATCH(AD60,$A$14:$A$400,0)),0),IFERROR(INDEX($X$14:$X$400,MATCH(AE60,$A$14:$A$400,0)),0),IFERROR(INDEX($X$14:$X$400,MATCH(AF60,$A$14:$A$400,0)),0),IFERROR(INDEX($X$14:$X$400,MATCH(AG60,$A$14:$A$400,0)),0),IFERROR(INDEX($X$14:$X$400,MATCH(AH60,$A$14:$A$400,0)),0),IFERROR(INDEX($X$14:$X$400,MATCH(AI60,$A$14:$A$400,0)),0),IFERROR(INDEX($X$14:$X$400,MATCH(AB60,$A$14:$A$400,0)),0))+1</f>
        <v>1</v>
      </c>
      <c r="X60" s="26">
        <f>W60+Y60-1</f>
        <v>2</v>
      </c>
      <c r="Y60" s="26">
        <f t="shared" ref="Y60:Y91" si="6">E60</f>
        <v>2</v>
      </c>
      <c r="Z60" s="26" t="s">
        <v>55</v>
      </c>
      <c r="AA60" s="26" t="s">
        <v>13</v>
      </c>
    </row>
    <row r="61" spans="1:31" x14ac:dyDescent="0.25">
      <c r="A61" s="47" t="s">
        <v>168</v>
      </c>
      <c r="B61" s="48" t="s">
        <v>169</v>
      </c>
      <c r="C61" s="49" t="s">
        <v>13</v>
      </c>
      <c r="D61" s="50">
        <v>4</v>
      </c>
      <c r="E61" s="47">
        <f>X61-W61+1</f>
        <v>1</v>
      </c>
      <c r="F61" s="51">
        <f t="shared" si="4"/>
        <v>46299</v>
      </c>
      <c r="G61" s="51">
        <f t="shared" si="5"/>
        <v>46299</v>
      </c>
      <c r="H61" s="47"/>
      <c r="I61" s="47"/>
      <c r="J61" s="50" t="s">
        <v>746</v>
      </c>
      <c r="K61" s="52">
        <v>1</v>
      </c>
      <c r="L61" s="53">
        <f>IFERROR(COUNTIFS(Checklist!$D:$D,"B1.1",Checklist!$I:$I,"Yes")/COUNTIF(Checklist!$D:$D,"B1.1"),0)</f>
        <v>0</v>
      </c>
      <c r="M61" s="47" t="str">
        <f>IF(AND(J61="Done",K61&lt;1),"Check",IF(AND(J61="In progress",K61=0),"Check",IF(AND(K61&gt;=1,J61&lt;&gt;"Done"),"Check",IF(J61="Done","Done",IF(J61="Blocked","Blocked",IF(AND($C$7&gt;X61,K61&lt;1),"Late",""))))))</f>
        <v>Done</v>
      </c>
      <c r="N61" s="54"/>
      <c r="P61" s="38">
        <f>IF(AND(W61&lt;=5,X61&gt;=1),2,"")</f>
        <v>2</v>
      </c>
      <c r="Q61" s="38" t="str">
        <f>IF(AND(W61&lt;=10,X61&gt;=6),2,"")</f>
        <v/>
      </c>
      <c r="R61" s="38" t="str">
        <f>IF(AND(W61&lt;=15,X61&gt;=11),2,"")</f>
        <v/>
      </c>
      <c r="S61" s="38" t="str">
        <f>IF(AND(W61&lt;=20,X61&gt;=16),2,"")</f>
        <v/>
      </c>
      <c r="T61" s="38" t="str">
        <f>IF(AND(W61&lt;=25,X61&gt;=21),2,"")</f>
        <v/>
      </c>
      <c r="U61" s="38" t="str">
        <f>IF(AND(W61&lt;=30,X61&gt;=26),2,"")</f>
        <v/>
      </c>
      <c r="W61" s="26">
        <f>$W$60+INT(SUM(D$61:D61)/8-D61/8+0.0001)</f>
        <v>1</v>
      </c>
      <c r="X61" s="26">
        <f>MAX(W61,$W$60+ROUNDUP(SUM(D$61:D61)/8,0)-1)</f>
        <v>1</v>
      </c>
      <c r="Y61" s="26">
        <f t="shared" si="6"/>
        <v>1</v>
      </c>
      <c r="Z61" s="26" t="s">
        <v>75</v>
      </c>
      <c r="AA61" s="26" t="s">
        <v>13</v>
      </c>
    </row>
    <row r="62" spans="1:31" x14ac:dyDescent="0.25">
      <c r="A62" s="47" t="s">
        <v>170</v>
      </c>
      <c r="B62" s="48" t="s">
        <v>171</v>
      </c>
      <c r="C62" s="49" t="s">
        <v>13</v>
      </c>
      <c r="D62" s="50">
        <v>4</v>
      </c>
      <c r="E62" s="47">
        <f>X62-W62+1</f>
        <v>1</v>
      </c>
      <c r="F62" s="51">
        <f t="shared" si="4"/>
        <v>46299</v>
      </c>
      <c r="G62" s="51">
        <f t="shared" si="5"/>
        <v>46299</v>
      </c>
      <c r="H62" s="47"/>
      <c r="I62" s="47"/>
      <c r="J62" s="50" t="s">
        <v>746</v>
      </c>
      <c r="K62" s="52">
        <v>1</v>
      </c>
      <c r="L62" s="53">
        <f>IFERROR(COUNTIFS(Checklist!$D:$D,"B1.2",Checklist!$I:$I,"Yes")/COUNTIF(Checklist!$D:$D,"B1.2"),0)</f>
        <v>0</v>
      </c>
      <c r="M62" s="47" t="str">
        <f>IF(AND(J62="Done",K62&lt;1),"Check",IF(AND(J62="In progress",K62=0),"Check",IF(AND(K62&gt;=1,J62&lt;&gt;"Done"),"Check",IF(J62="Done","Done",IF(J62="Blocked","Blocked",IF(AND($C$7&gt;X62,K62&lt;1),"Late",""))))))</f>
        <v>Done</v>
      </c>
      <c r="N62" s="54"/>
      <c r="P62" s="38">
        <f>IF(AND(W62&lt;=5,X62&gt;=1),2,"")</f>
        <v>2</v>
      </c>
      <c r="Q62" s="38" t="str">
        <f>IF(AND(W62&lt;=10,X62&gt;=6),2,"")</f>
        <v/>
      </c>
      <c r="R62" s="38" t="str">
        <f>IF(AND(W62&lt;=15,X62&gt;=11),2,"")</f>
        <v/>
      </c>
      <c r="S62" s="38" t="str">
        <f>IF(AND(W62&lt;=20,X62&gt;=16),2,"")</f>
        <v/>
      </c>
      <c r="T62" s="38" t="str">
        <f>IF(AND(W62&lt;=25,X62&gt;=21),2,"")</f>
        <v/>
      </c>
      <c r="U62" s="38" t="str">
        <f>IF(AND(W62&lt;=30,X62&gt;=26),2,"")</f>
        <v/>
      </c>
      <c r="W62" s="26">
        <f>$W$60+INT(SUM(D$61:D62)/8-D62/8+0.0001)</f>
        <v>1</v>
      </c>
      <c r="X62" s="26">
        <f>MAX(W62,$W$60+ROUNDUP(SUM(D$61:D62)/8,0)-1)</f>
        <v>1</v>
      </c>
      <c r="Y62" s="26">
        <f t="shared" si="6"/>
        <v>1</v>
      </c>
      <c r="Z62" s="26" t="s">
        <v>75</v>
      </c>
      <c r="AA62" s="26" t="s">
        <v>13</v>
      </c>
    </row>
    <row r="63" spans="1:31" x14ac:dyDescent="0.25">
      <c r="A63" s="47" t="s">
        <v>172</v>
      </c>
      <c r="B63" s="48" t="s">
        <v>173</v>
      </c>
      <c r="C63" s="49" t="s">
        <v>13</v>
      </c>
      <c r="D63" s="50">
        <v>2</v>
      </c>
      <c r="E63" s="47">
        <f>X63-W63+1</f>
        <v>1</v>
      </c>
      <c r="F63" s="51">
        <f t="shared" si="4"/>
        <v>46300</v>
      </c>
      <c r="G63" s="51">
        <f t="shared" si="5"/>
        <v>46300</v>
      </c>
      <c r="H63" s="47"/>
      <c r="I63" s="47"/>
      <c r="J63" s="50" t="s">
        <v>746</v>
      </c>
      <c r="K63" s="52">
        <v>1</v>
      </c>
      <c r="L63" s="53">
        <f>IFERROR(COUNTIFS(Checklist!$D:$D,"B1.3",Checklist!$I:$I,"Yes")/COUNTIF(Checklist!$D:$D,"B1.3"),0)</f>
        <v>0</v>
      </c>
      <c r="M63" s="47" t="str">
        <f>IF(AND(J63="Done",K63&lt;1),"Check",IF(AND(J63="In progress",K63=0),"Check",IF(AND(K63&gt;=1,J63&lt;&gt;"Done"),"Check",IF(J63="Done","Done",IF(J63="Blocked","Blocked",IF(AND($C$7&gt;X63,K63&lt;1),"Late",""))))))</f>
        <v>Done</v>
      </c>
      <c r="N63" s="54"/>
      <c r="P63" s="38">
        <f>IF(AND(W63&lt;=5,X63&gt;=1),2,"")</f>
        <v>2</v>
      </c>
      <c r="Q63" s="38" t="str">
        <f>IF(AND(W63&lt;=10,X63&gt;=6),2,"")</f>
        <v/>
      </c>
      <c r="R63" s="38" t="str">
        <f>IF(AND(W63&lt;=15,X63&gt;=11),2,"")</f>
        <v/>
      </c>
      <c r="S63" s="38" t="str">
        <f>IF(AND(W63&lt;=20,X63&gt;=16),2,"")</f>
        <v/>
      </c>
      <c r="T63" s="38" t="str">
        <f>IF(AND(W63&lt;=25,X63&gt;=21),2,"")</f>
        <v/>
      </c>
      <c r="U63" s="38" t="str">
        <f>IF(AND(W63&lt;=30,X63&gt;=26),2,"")</f>
        <v/>
      </c>
      <c r="W63" s="26">
        <f>$W$60+INT(SUM(D$61:D63)/8-D63/8+0.0001)</f>
        <v>2</v>
      </c>
      <c r="X63" s="26">
        <f>MAX(W63,$W$60+ROUNDUP(SUM(D$61:D63)/8,0)-1)</f>
        <v>2</v>
      </c>
      <c r="Y63" s="26">
        <f t="shared" si="6"/>
        <v>1</v>
      </c>
      <c r="Z63" s="26" t="s">
        <v>75</v>
      </c>
      <c r="AA63" s="26" t="s">
        <v>13</v>
      </c>
    </row>
    <row r="64" spans="1:31" x14ac:dyDescent="0.25">
      <c r="A64" s="47" t="s">
        <v>174</v>
      </c>
      <c r="B64" s="48" t="s">
        <v>175</v>
      </c>
      <c r="C64" s="49" t="s">
        <v>13</v>
      </c>
      <c r="D64" s="50">
        <v>4</v>
      </c>
      <c r="E64" s="47">
        <f>X64-W64+1</f>
        <v>1</v>
      </c>
      <c r="F64" s="51">
        <f t="shared" si="4"/>
        <v>46300</v>
      </c>
      <c r="G64" s="51">
        <f t="shared" si="5"/>
        <v>46300</v>
      </c>
      <c r="H64" s="47"/>
      <c r="I64" s="47"/>
      <c r="J64" s="50" t="s">
        <v>53</v>
      </c>
      <c r="K64" s="52">
        <v>0.2</v>
      </c>
      <c r="L64" s="53">
        <f>IFERROR(COUNTIFS(Checklist!$D:$D,"B1.4",Checklist!$I:$I,"Yes")/COUNTIF(Checklist!$D:$D,"B1.4"),0)</f>
        <v>0</v>
      </c>
      <c r="M64" s="47" t="str">
        <f>IF(AND(J64="Done",K64&lt;1),"Check",IF(AND(J64="In progress",K64=0),"Check",IF(AND(K64&gt;=1,J64&lt;&gt;"Done"),"Check",IF(J64="Done","Done",IF(J64="Blocked","Blocked",IF(AND($C$7&gt;X64,K64&lt;1),"Late",""))))))</f>
        <v/>
      </c>
      <c r="N64" s="54"/>
      <c r="P64" s="38">
        <f>IF(AND(W64&lt;=5,X64&gt;=1),2,"")</f>
        <v>2</v>
      </c>
      <c r="Q64" s="38" t="str">
        <f>IF(AND(W64&lt;=10,X64&gt;=6),2,"")</f>
        <v/>
      </c>
      <c r="R64" s="38" t="str">
        <f>IF(AND(W64&lt;=15,X64&gt;=11),2,"")</f>
        <v/>
      </c>
      <c r="S64" s="38" t="str">
        <f>IF(AND(W64&lt;=20,X64&gt;=16),2,"")</f>
        <v/>
      </c>
      <c r="T64" s="38" t="str">
        <f>IF(AND(W64&lt;=25,X64&gt;=21),2,"")</f>
        <v/>
      </c>
      <c r="U64" s="38" t="str">
        <f>IF(AND(W64&lt;=30,X64&gt;=26),2,"")</f>
        <v/>
      </c>
      <c r="W64" s="26">
        <f>$W$60+INT(SUM(D$61:D64)/8-D64/8+0.0001)</f>
        <v>2</v>
      </c>
      <c r="X64" s="26">
        <f>MAX(W64,$W$60+ROUNDUP(SUM(D$61:D64)/8,0)-1)</f>
        <v>2</v>
      </c>
      <c r="Y64" s="26">
        <f t="shared" si="6"/>
        <v>1</v>
      </c>
      <c r="Z64" s="26" t="s">
        <v>75</v>
      </c>
      <c r="AA64" s="26" t="s">
        <v>13</v>
      </c>
    </row>
    <row r="65" spans="1:30" ht="25.5" x14ac:dyDescent="0.25">
      <c r="A65" s="55" t="s">
        <v>111</v>
      </c>
      <c r="B65" s="56" t="s">
        <v>176</v>
      </c>
      <c r="C65" s="57" t="s">
        <v>13</v>
      </c>
      <c r="D65" s="55">
        <f>SUM(D66:D67)</f>
        <v>4</v>
      </c>
      <c r="E65" s="55">
        <f>ROUNDUP(D65/8,0)</f>
        <v>1</v>
      </c>
      <c r="F65" s="58">
        <f t="shared" si="4"/>
        <v>46301</v>
      </c>
      <c r="G65" s="58">
        <f t="shared" si="5"/>
        <v>46301</v>
      </c>
      <c r="H65" s="59" t="s">
        <v>98</v>
      </c>
      <c r="I65" s="59" t="s">
        <v>177</v>
      </c>
      <c r="J65" s="55" t="str">
        <f>IF(K65&gt;=1,"Done",IF(COUNTIF(J66:J67,"Blocked")&gt;0,"Blocked",IF(OR(K65&gt;0,COUNTIF(J66:J67,"In progress")&gt;0),"In progress","Not started")))</f>
        <v>In progress</v>
      </c>
      <c r="K65" s="60">
        <f>IFERROR(SUMPRODUCT(D66:D67,K66:K67)/D65,0)</f>
        <v>0.4</v>
      </c>
      <c r="L65" s="61">
        <f>IFERROR(SUMPRODUCT(D66:D67,L66:L67)/D65,0)</f>
        <v>0</v>
      </c>
      <c r="M65" s="62" t="str">
        <f>IF(J65="Done","Done",IF(J65="Blocked","Blocked",IF(AND($C$7&gt;X65,K65&lt;1),"Late","")))</f>
        <v/>
      </c>
      <c r="N65" s="59" t="str">
        <f>IF(COUNTIF(J66:J67,"Blocked")&gt;0,"Blocked subtask — see below","")</f>
        <v/>
      </c>
      <c r="P65" s="38">
        <f>IF(AND(W65&lt;=5,X65&gt;=1),1,"")</f>
        <v>1</v>
      </c>
      <c r="Q65" s="38" t="str">
        <f>IF(AND(W65&lt;=10,X65&gt;=6),1,"")</f>
        <v/>
      </c>
      <c r="R65" s="38" t="str">
        <f>IF(AND(W65&lt;=15,X65&gt;=11),1,"")</f>
        <v/>
      </c>
      <c r="S65" s="38" t="str">
        <f>IF(AND(W65&lt;=20,X65&gt;=16),1,"")</f>
        <v/>
      </c>
      <c r="T65" s="38" t="str">
        <f>IF(AND(W65&lt;=25,X65&gt;=21),1,"")</f>
        <v/>
      </c>
      <c r="U65" s="38" t="str">
        <f>IF(AND(W65&lt;=30,X65&gt;=26),1,"")</f>
        <v/>
      </c>
      <c r="W65" s="26">
        <f>MAX(IFERROR(INDEX($X$14:$X$400,MATCH(AC65,$A$14:$A$400,0)),0),IFERROR(INDEX($X$14:$X$400,MATCH(AD65,$A$14:$A$400,0)),0),IFERROR(INDEX($X$14:$X$400,MATCH(AE65,$A$14:$A$400,0)),0),IFERROR(INDEX($X$14:$X$400,MATCH(AF65,$A$14:$A$400,0)),0),IFERROR(INDEX($X$14:$X$400,MATCH(AG65,$A$14:$A$400,0)),0),IFERROR(INDEX($X$14:$X$400,MATCH(AH65,$A$14:$A$400,0)),0),IFERROR(INDEX($X$14:$X$400,MATCH(AI65,$A$14:$A$400,0)),0),IFERROR(INDEX($X$14:$X$400,MATCH(AB65,$A$14:$A$400,0)),0))+1</f>
        <v>3</v>
      </c>
      <c r="X65" s="26">
        <f>W65+Y65-1</f>
        <v>3</v>
      </c>
      <c r="Y65" s="26">
        <f t="shared" si="6"/>
        <v>1</v>
      </c>
      <c r="Z65" s="26" t="s">
        <v>55</v>
      </c>
      <c r="AA65" s="26" t="s">
        <v>13</v>
      </c>
      <c r="AB65" s="26" t="s">
        <v>98</v>
      </c>
      <c r="AC65" s="26" t="s">
        <v>98</v>
      </c>
    </row>
    <row r="66" spans="1:30" x14ac:dyDescent="0.25">
      <c r="A66" s="47" t="s">
        <v>178</v>
      </c>
      <c r="B66" s="48" t="s">
        <v>179</v>
      </c>
      <c r="C66" s="49" t="s">
        <v>13</v>
      </c>
      <c r="D66" s="50">
        <v>1</v>
      </c>
      <c r="E66" s="47">
        <f>X66-W66+1</f>
        <v>1</v>
      </c>
      <c r="F66" s="51">
        <f t="shared" si="4"/>
        <v>46301</v>
      </c>
      <c r="G66" s="51">
        <f t="shared" si="5"/>
        <v>46301</v>
      </c>
      <c r="H66" s="47"/>
      <c r="I66" s="47"/>
      <c r="J66" s="50" t="s">
        <v>746</v>
      </c>
      <c r="K66" s="52">
        <v>1</v>
      </c>
      <c r="L66" s="53">
        <f>IFERROR(COUNTIFS(Checklist!$D:$D,"B0.1",Checklist!$I:$I,"Yes")/COUNTIF(Checklist!$D:$D,"B0.1"),0)</f>
        <v>0</v>
      </c>
      <c r="M66" s="47" t="str">
        <f>IF(AND(J66="Done",K66&lt;1),"Check",IF(AND(J66="In progress",K66=0),"Check",IF(AND(K66&gt;=1,J66&lt;&gt;"Done"),"Check",IF(J66="Done","Done",IF(J66="Blocked","Blocked",IF(AND($C$7&gt;X66,K66&lt;1),"Late",""))))))</f>
        <v>Done</v>
      </c>
      <c r="N66" s="54"/>
      <c r="P66" s="38">
        <f>IF(AND(W66&lt;=5,X66&gt;=1),2,"")</f>
        <v>2</v>
      </c>
      <c r="Q66" s="38" t="str">
        <f>IF(AND(W66&lt;=10,X66&gt;=6),2,"")</f>
        <v/>
      </c>
      <c r="R66" s="38" t="str">
        <f>IF(AND(W66&lt;=15,X66&gt;=11),2,"")</f>
        <v/>
      </c>
      <c r="S66" s="38" t="str">
        <f>IF(AND(W66&lt;=20,X66&gt;=16),2,"")</f>
        <v/>
      </c>
      <c r="T66" s="38" t="str">
        <f>IF(AND(W66&lt;=25,X66&gt;=21),2,"")</f>
        <v/>
      </c>
      <c r="U66" s="38" t="str">
        <f>IF(AND(W66&lt;=30,X66&gt;=26),2,"")</f>
        <v/>
      </c>
      <c r="W66" s="26">
        <f>$W$65+INT(SUM(D$66:D66)/8-D66/8+0.0001)</f>
        <v>3</v>
      </c>
      <c r="X66" s="26">
        <f>MAX(W66,$W$65+ROUNDUP(SUM(D$66:D66)/8,0)-1)</f>
        <v>3</v>
      </c>
      <c r="Y66" s="26">
        <f t="shared" si="6"/>
        <v>1</v>
      </c>
      <c r="Z66" s="26" t="s">
        <v>75</v>
      </c>
      <c r="AA66" s="26" t="s">
        <v>13</v>
      </c>
    </row>
    <row r="67" spans="1:30" x14ac:dyDescent="0.25">
      <c r="A67" s="47" t="s">
        <v>180</v>
      </c>
      <c r="B67" s="48" t="s">
        <v>181</v>
      </c>
      <c r="C67" s="49" t="s">
        <v>13</v>
      </c>
      <c r="D67" s="50">
        <v>3</v>
      </c>
      <c r="E67" s="47">
        <f>X67-W67+1</f>
        <v>1</v>
      </c>
      <c r="F67" s="51">
        <f t="shared" si="4"/>
        <v>46301</v>
      </c>
      <c r="G67" s="51">
        <f t="shared" si="5"/>
        <v>46301</v>
      </c>
      <c r="H67" s="47"/>
      <c r="I67" s="47"/>
      <c r="J67" s="50" t="s">
        <v>53</v>
      </c>
      <c r="K67" s="52">
        <v>0.2</v>
      </c>
      <c r="L67" s="53">
        <f>IFERROR(COUNTIFS(Checklist!$D:$D,"B0.2",Checklist!$I:$I,"Yes")/COUNTIF(Checklist!$D:$D,"B0.2"),0)</f>
        <v>0</v>
      </c>
      <c r="M67" s="47" t="str">
        <f>IF(AND(J67="Done",K67&lt;1),"Check",IF(AND(J67="In progress",K67=0),"Check",IF(AND(K67&gt;=1,J67&lt;&gt;"Done"),"Check",IF(J67="Done","Done",IF(J67="Blocked","Blocked",IF(AND($C$7&gt;X67,K67&lt;1),"Late",""))))))</f>
        <v/>
      </c>
      <c r="N67" s="54"/>
      <c r="P67" s="38">
        <f>IF(AND(W67&lt;=5,X67&gt;=1),2,"")</f>
        <v>2</v>
      </c>
      <c r="Q67" s="38" t="str">
        <f>IF(AND(W67&lt;=10,X67&gt;=6),2,"")</f>
        <v/>
      </c>
      <c r="R67" s="38" t="str">
        <f>IF(AND(W67&lt;=15,X67&gt;=11),2,"")</f>
        <v/>
      </c>
      <c r="S67" s="38" t="str">
        <f>IF(AND(W67&lt;=20,X67&gt;=16),2,"")</f>
        <v/>
      </c>
      <c r="T67" s="38" t="str">
        <f>IF(AND(W67&lt;=25,X67&gt;=21),2,"")</f>
        <v/>
      </c>
      <c r="U67" s="38" t="str">
        <f>IF(AND(W67&lt;=30,X67&gt;=26),2,"")</f>
        <v/>
      </c>
      <c r="W67" s="26">
        <f>$W$65+INT(SUM(D$66:D67)/8-D67/8+0.0001)</f>
        <v>3</v>
      </c>
      <c r="X67" s="26">
        <f>MAX(W67,$W$65+ROUNDUP(SUM(D$66:D67)/8,0)-1)</f>
        <v>3</v>
      </c>
      <c r="Y67" s="26">
        <f t="shared" si="6"/>
        <v>1</v>
      </c>
      <c r="Z67" s="26" t="s">
        <v>75</v>
      </c>
      <c r="AA67" s="26" t="s">
        <v>13</v>
      </c>
    </row>
    <row r="68" spans="1:30" ht="25.5" x14ac:dyDescent="0.25">
      <c r="A68" s="55" t="s">
        <v>110</v>
      </c>
      <c r="B68" s="56" t="s">
        <v>182</v>
      </c>
      <c r="C68" s="57" t="s">
        <v>13</v>
      </c>
      <c r="D68" s="55">
        <f>SUM(D69:D72)</f>
        <v>12</v>
      </c>
      <c r="E68" s="55">
        <f>ROUNDUP(D68/8,0)</f>
        <v>2</v>
      </c>
      <c r="F68" s="58">
        <f t="shared" si="4"/>
        <v>46302</v>
      </c>
      <c r="G68" s="58">
        <f t="shared" si="5"/>
        <v>46303</v>
      </c>
      <c r="H68" s="59" t="s">
        <v>98</v>
      </c>
      <c r="I68" s="59" t="s">
        <v>183</v>
      </c>
      <c r="J68" s="55" t="str">
        <f>IF(K68&gt;=1,"Done",IF(COUNTIF(J69:J72,"Blocked")&gt;0,"Blocked",IF(OR(K68&gt;0,COUNTIF(J69:J72,"In progress")&gt;0),"In progress","Not started")))</f>
        <v>In progress</v>
      </c>
      <c r="K68" s="60">
        <f>IFERROR(SUMPRODUCT(D69:D72,K69:K72)/D68,0)</f>
        <v>0.78333333333333333</v>
      </c>
      <c r="L68" s="61">
        <f>IFERROR(SUMPRODUCT(D69:D72,L69:L72)/D68,0)</f>
        <v>0</v>
      </c>
      <c r="M68" s="62" t="str">
        <f>IF(J68="Done","Done",IF(J68="Blocked","Blocked",IF(AND($C$7&gt;X68,K68&lt;1),"Late","")))</f>
        <v/>
      </c>
      <c r="N68" s="59" t="str">
        <f>IF(COUNTIF(J69:J72,"Blocked")&gt;0,"Blocked subtask — see below","")</f>
        <v/>
      </c>
      <c r="P68" s="38">
        <f>IF(AND(W68&lt;=5,X68&gt;=1),1,"")</f>
        <v>1</v>
      </c>
      <c r="Q68" s="38" t="str">
        <f>IF(AND(W68&lt;=10,X68&gt;=6),1,"")</f>
        <v/>
      </c>
      <c r="R68" s="38" t="str">
        <f>IF(AND(W68&lt;=15,X68&gt;=11),1,"")</f>
        <v/>
      </c>
      <c r="S68" s="38" t="str">
        <f>IF(AND(W68&lt;=20,X68&gt;=16),1,"")</f>
        <v/>
      </c>
      <c r="T68" s="38" t="str">
        <f>IF(AND(W68&lt;=25,X68&gt;=21),1,"")</f>
        <v/>
      </c>
      <c r="U68" s="38" t="str">
        <f>IF(AND(W68&lt;=30,X68&gt;=26),1,"")</f>
        <v/>
      </c>
      <c r="W68" s="26">
        <f>MAX(IFERROR(INDEX($X$14:$X$400,MATCH(AC68,$A$14:$A$400,0)),0),IFERROR(INDEX($X$14:$X$400,MATCH(AD68,$A$14:$A$400,0)),0),IFERROR(INDEX($X$14:$X$400,MATCH(AE68,$A$14:$A$400,0)),0),IFERROR(INDEX($X$14:$X$400,MATCH(AF68,$A$14:$A$400,0)),0),IFERROR(INDEX($X$14:$X$400,MATCH(AG68,$A$14:$A$400,0)),0),IFERROR(INDEX($X$14:$X$400,MATCH(AH68,$A$14:$A$400,0)),0),IFERROR(INDEX($X$14:$X$400,MATCH(AI68,$A$14:$A$400,0)),0),IFERROR(INDEX($X$14:$X$400,MATCH(AB68,$A$14:$A$400,0)),0))+1</f>
        <v>4</v>
      </c>
      <c r="X68" s="26">
        <f>W68+Y68-1</f>
        <v>5</v>
      </c>
      <c r="Y68" s="26">
        <f t="shared" si="6"/>
        <v>2</v>
      </c>
      <c r="Z68" s="26" t="s">
        <v>55</v>
      </c>
      <c r="AA68" s="26" t="s">
        <v>13</v>
      </c>
      <c r="AB68" s="26" t="s">
        <v>111</v>
      </c>
      <c r="AC68" s="26" t="s">
        <v>98</v>
      </c>
    </row>
    <row r="69" spans="1:30" x14ac:dyDescent="0.25">
      <c r="A69" s="47" t="s">
        <v>184</v>
      </c>
      <c r="B69" s="48" t="s">
        <v>185</v>
      </c>
      <c r="C69" s="49" t="s">
        <v>13</v>
      </c>
      <c r="D69" s="50">
        <v>4</v>
      </c>
      <c r="E69" s="47">
        <f>X69-W69+1</f>
        <v>1</v>
      </c>
      <c r="F69" s="51">
        <f t="shared" si="4"/>
        <v>46302</v>
      </c>
      <c r="G69" s="51">
        <f t="shared" si="5"/>
        <v>46302</v>
      </c>
      <c r="H69" s="47"/>
      <c r="I69" s="47"/>
      <c r="J69" s="50" t="s">
        <v>53</v>
      </c>
      <c r="K69" s="52">
        <v>0.8</v>
      </c>
      <c r="L69" s="53">
        <f>IFERROR(COUNTIFS(Checklist!$D:$D,"B3.1",Checklist!$I:$I,"Yes")/COUNTIF(Checklist!$D:$D,"B3.1"),0)</f>
        <v>0</v>
      </c>
      <c r="M69" s="47" t="str">
        <f>IF(AND(J69="Done",K69&lt;1),"Check",IF(AND(J69="In progress",K69=0),"Check",IF(AND(K69&gt;=1,J69&lt;&gt;"Done"),"Check",IF(J69="Done","Done",IF(J69="Blocked","Blocked",IF(AND($C$7&gt;X69,K69&lt;1),"Late",""))))))</f>
        <v/>
      </c>
      <c r="N69" s="54"/>
      <c r="P69" s="38">
        <f>IF(AND(W69&lt;=5,X69&gt;=1),2,"")</f>
        <v>2</v>
      </c>
      <c r="Q69" s="38" t="str">
        <f>IF(AND(W69&lt;=10,X69&gt;=6),2,"")</f>
        <v/>
      </c>
      <c r="R69" s="38" t="str">
        <f>IF(AND(W69&lt;=15,X69&gt;=11),2,"")</f>
        <v/>
      </c>
      <c r="S69" s="38" t="str">
        <f>IF(AND(W69&lt;=20,X69&gt;=16),2,"")</f>
        <v/>
      </c>
      <c r="T69" s="38" t="str">
        <f>IF(AND(W69&lt;=25,X69&gt;=21),2,"")</f>
        <v/>
      </c>
      <c r="U69" s="38" t="str">
        <f>IF(AND(W69&lt;=30,X69&gt;=26),2,"")</f>
        <v/>
      </c>
      <c r="W69" s="26">
        <f>$W$68+INT(SUM(D$69:D69)/8-D69/8+0.0001)</f>
        <v>4</v>
      </c>
      <c r="X69" s="26">
        <f>MAX(W69,$W$68+ROUNDUP(SUM(D$69:D69)/8,0)-1)</f>
        <v>4</v>
      </c>
      <c r="Y69" s="26">
        <f t="shared" si="6"/>
        <v>1</v>
      </c>
      <c r="Z69" s="26" t="s">
        <v>75</v>
      </c>
      <c r="AA69" s="26" t="s">
        <v>13</v>
      </c>
    </row>
    <row r="70" spans="1:30" x14ac:dyDescent="0.25">
      <c r="A70" s="47" t="s">
        <v>186</v>
      </c>
      <c r="B70" s="48" t="s">
        <v>747</v>
      </c>
      <c r="C70" s="49" t="s">
        <v>13</v>
      </c>
      <c r="D70" s="50">
        <v>2</v>
      </c>
      <c r="E70" s="47">
        <f>X70-W70+1</f>
        <v>1</v>
      </c>
      <c r="F70" s="51">
        <f t="shared" si="4"/>
        <v>46302</v>
      </c>
      <c r="G70" s="51">
        <f t="shared" si="5"/>
        <v>46302</v>
      </c>
      <c r="H70" s="47"/>
      <c r="I70" s="47"/>
      <c r="J70" s="50" t="s">
        <v>53</v>
      </c>
      <c r="K70" s="52">
        <v>0.5</v>
      </c>
      <c r="L70" s="53">
        <f>IFERROR(COUNTIFS(Checklist!$D:$D,"B3.2",Checklist!$I:$I,"Yes")/COUNTIF(Checklist!$D:$D,"B3.2"),0)</f>
        <v>0</v>
      </c>
      <c r="M70" s="47" t="str">
        <f>IF(AND(J70="Done",K70&lt;1),"Check",IF(AND(J70="In progress",K70=0),"Check",IF(AND(K70&gt;=1,J70&lt;&gt;"Done"),"Check",IF(J70="Done","Done",IF(J70="Blocked","Blocked",IF(AND($C$7&gt;X70,K70&lt;1),"Late",""))))))</f>
        <v/>
      </c>
      <c r="N70" s="54"/>
      <c r="P70" s="38">
        <f>IF(AND(W70&lt;=5,X70&gt;=1),2,"")</f>
        <v>2</v>
      </c>
      <c r="Q70" s="38" t="str">
        <f>IF(AND(W70&lt;=10,X70&gt;=6),2,"")</f>
        <v/>
      </c>
      <c r="R70" s="38" t="str">
        <f>IF(AND(W70&lt;=15,X70&gt;=11),2,"")</f>
        <v/>
      </c>
      <c r="S70" s="38" t="str">
        <f>IF(AND(W70&lt;=20,X70&gt;=16),2,"")</f>
        <v/>
      </c>
      <c r="T70" s="38" t="str">
        <f>IF(AND(W70&lt;=25,X70&gt;=21),2,"")</f>
        <v/>
      </c>
      <c r="U70" s="38" t="str">
        <f>IF(AND(W70&lt;=30,X70&gt;=26),2,"")</f>
        <v/>
      </c>
      <c r="W70" s="26">
        <f>$W$68+INT(SUM(D$69:D70)/8-D70/8+0.0001)</f>
        <v>4</v>
      </c>
      <c r="X70" s="26">
        <f>MAX(W70,$W$68+ROUNDUP(SUM(D$69:D70)/8,0)-1)</f>
        <v>4</v>
      </c>
      <c r="Y70" s="26">
        <f t="shared" si="6"/>
        <v>1</v>
      </c>
      <c r="Z70" s="26" t="s">
        <v>75</v>
      </c>
      <c r="AA70" s="26" t="s">
        <v>13</v>
      </c>
    </row>
    <row r="71" spans="1:30" x14ac:dyDescent="0.25">
      <c r="A71" s="47" t="s">
        <v>187</v>
      </c>
      <c r="B71" s="48" t="s">
        <v>188</v>
      </c>
      <c r="C71" s="49" t="s">
        <v>13</v>
      </c>
      <c r="D71" s="50">
        <v>2</v>
      </c>
      <c r="E71" s="47">
        <f>X71-W71+1</f>
        <v>1</v>
      </c>
      <c r="F71" s="51">
        <f t="shared" si="4"/>
        <v>46302</v>
      </c>
      <c r="G71" s="51">
        <f t="shared" si="5"/>
        <v>46302</v>
      </c>
      <c r="H71" s="47"/>
      <c r="I71" s="47"/>
      <c r="J71" s="50" t="s">
        <v>53</v>
      </c>
      <c r="K71" s="52">
        <v>0.8</v>
      </c>
      <c r="L71" s="53">
        <f>IFERROR(COUNTIFS(Checklist!$D:$D,"B3.3",Checklist!$I:$I,"Yes")/COUNTIF(Checklist!$D:$D,"B3.3"),0)</f>
        <v>0</v>
      </c>
      <c r="M71" s="47" t="str">
        <f>IF(AND(J71="Done",K71&lt;1),"Check",IF(AND(J71="In progress",K71=0),"Check",IF(AND(K71&gt;=1,J71&lt;&gt;"Done"),"Check",IF(J71="Done","Done",IF(J71="Blocked","Blocked",IF(AND($C$7&gt;X71,K71&lt;1),"Late",""))))))</f>
        <v/>
      </c>
      <c r="N71" s="54"/>
      <c r="P71" s="38">
        <f>IF(AND(W71&lt;=5,X71&gt;=1),2,"")</f>
        <v>2</v>
      </c>
      <c r="Q71" s="38" t="str">
        <f>IF(AND(W71&lt;=10,X71&gt;=6),2,"")</f>
        <v/>
      </c>
      <c r="R71" s="38" t="str">
        <f>IF(AND(W71&lt;=15,X71&gt;=11),2,"")</f>
        <v/>
      </c>
      <c r="S71" s="38" t="str">
        <f>IF(AND(W71&lt;=20,X71&gt;=16),2,"")</f>
        <v/>
      </c>
      <c r="T71" s="38" t="str">
        <f>IF(AND(W71&lt;=25,X71&gt;=21),2,"")</f>
        <v/>
      </c>
      <c r="U71" s="38" t="str">
        <f>IF(AND(W71&lt;=30,X71&gt;=26),2,"")</f>
        <v/>
      </c>
      <c r="W71" s="26">
        <f>$W$68+INT(SUM(D$69:D71)/8-D71/8+0.0001)</f>
        <v>4</v>
      </c>
      <c r="X71" s="26">
        <f>MAX(W71,$W$68+ROUNDUP(SUM(D$69:D71)/8,0)-1)</f>
        <v>4</v>
      </c>
      <c r="Y71" s="26">
        <f t="shared" si="6"/>
        <v>1</v>
      </c>
      <c r="Z71" s="26" t="s">
        <v>75</v>
      </c>
      <c r="AA71" s="26" t="s">
        <v>13</v>
      </c>
    </row>
    <row r="72" spans="1:30" x14ac:dyDescent="0.25">
      <c r="A72" s="47" t="s">
        <v>189</v>
      </c>
      <c r="B72" s="48" t="s">
        <v>190</v>
      </c>
      <c r="C72" s="49" t="s">
        <v>13</v>
      </c>
      <c r="D72" s="50">
        <v>4</v>
      </c>
      <c r="E72" s="47">
        <f>X72-W72+1</f>
        <v>1</v>
      </c>
      <c r="F72" s="51">
        <f t="shared" si="4"/>
        <v>46303</v>
      </c>
      <c r="G72" s="51">
        <f t="shared" si="5"/>
        <v>46303</v>
      </c>
      <c r="H72" s="47"/>
      <c r="I72" s="47"/>
      <c r="J72" s="50" t="s">
        <v>53</v>
      </c>
      <c r="K72" s="52">
        <v>0.9</v>
      </c>
      <c r="L72" s="53">
        <f>IFERROR(COUNTIFS(Checklist!$D:$D,"B3.4",Checklist!$I:$I,"Yes")/COUNTIF(Checklist!$D:$D,"B3.4"),0)</f>
        <v>0</v>
      </c>
      <c r="M72" s="47" t="str">
        <f>IF(AND(J72="Done",K72&lt;1),"Check",IF(AND(J72="In progress",K72=0),"Check",IF(AND(K72&gt;=1,J72&lt;&gt;"Done"),"Check",IF(J72="Done","Done",IF(J72="Blocked","Blocked",IF(AND($C$7&gt;X72,K72&lt;1),"Late",""))))))</f>
        <v/>
      </c>
      <c r="N72" s="54"/>
      <c r="P72" s="38">
        <f>IF(AND(W72&lt;=5,X72&gt;=1),2,"")</f>
        <v>2</v>
      </c>
      <c r="Q72" s="38" t="str">
        <f>IF(AND(W72&lt;=10,X72&gt;=6),2,"")</f>
        <v/>
      </c>
      <c r="R72" s="38" t="str">
        <f>IF(AND(W72&lt;=15,X72&gt;=11),2,"")</f>
        <v/>
      </c>
      <c r="S72" s="38" t="str">
        <f>IF(AND(W72&lt;=20,X72&gt;=16),2,"")</f>
        <v/>
      </c>
      <c r="T72" s="38" t="str">
        <f>IF(AND(W72&lt;=25,X72&gt;=21),2,"")</f>
        <v/>
      </c>
      <c r="U72" s="38" t="str">
        <f>IF(AND(W72&lt;=30,X72&gt;=26),2,"")</f>
        <v/>
      </c>
      <c r="W72" s="26">
        <f>$W$68+INT(SUM(D$69:D72)/8-D72/8+0.0001)</f>
        <v>5</v>
      </c>
      <c r="X72" s="26">
        <f>MAX(W72,$W$68+ROUNDUP(SUM(D$69:D72)/8,0)-1)</f>
        <v>5</v>
      </c>
      <c r="Y72" s="26">
        <f t="shared" si="6"/>
        <v>1</v>
      </c>
      <c r="Z72" s="26" t="s">
        <v>75</v>
      </c>
      <c r="AA72" s="26" t="s">
        <v>13</v>
      </c>
    </row>
    <row r="73" spans="1:30" ht="25.5" x14ac:dyDescent="0.25">
      <c r="A73" s="55" t="s">
        <v>191</v>
      </c>
      <c r="B73" s="56" t="s">
        <v>192</v>
      </c>
      <c r="C73" s="57" t="s">
        <v>13</v>
      </c>
      <c r="D73" s="55">
        <f>SUM(D74:D76)</f>
        <v>14</v>
      </c>
      <c r="E73" s="55">
        <f>ROUNDUP(D73/8,0)</f>
        <v>2</v>
      </c>
      <c r="F73" s="58">
        <f t="shared" si="4"/>
        <v>46306</v>
      </c>
      <c r="G73" s="58">
        <f t="shared" si="5"/>
        <v>46307</v>
      </c>
      <c r="H73" s="59" t="s">
        <v>98</v>
      </c>
      <c r="I73" s="59" t="s">
        <v>193</v>
      </c>
      <c r="J73" s="55" t="str">
        <f>IF(K73&gt;=1,"Done",IF(COUNTIF(J74:J76,"Blocked")&gt;0,"Blocked",IF(OR(K73&gt;0,COUNTIF(J74:J76,"In progress")&gt;0),"In progress","Not started")))</f>
        <v>Not started</v>
      </c>
      <c r="K73" s="60">
        <f>IFERROR(SUMPRODUCT(D74:D76,K74:K76)/D73,0)</f>
        <v>0</v>
      </c>
      <c r="L73" s="61">
        <f>IFERROR(SUMPRODUCT(D74:D76,L74:L76)/D73,0)</f>
        <v>0</v>
      </c>
      <c r="M73" s="62" t="str">
        <f>IF(J73="Done","Done",IF(J73="Blocked","Blocked",IF(AND($C$7&gt;X73,K73&lt;1),"Late","")))</f>
        <v/>
      </c>
      <c r="N73" s="59" t="str">
        <f>IF(COUNTIF(J74:J76,"Blocked")&gt;0,"Blocked subtask — see below","")</f>
        <v/>
      </c>
      <c r="P73" s="38" t="str">
        <f>IF(AND(W73&lt;=5,X73&gt;=1),1,"")</f>
        <v/>
      </c>
      <c r="Q73" s="38">
        <f>IF(AND(W73&lt;=10,X73&gt;=6),1,"")</f>
        <v>1</v>
      </c>
      <c r="R73" s="38" t="str">
        <f>IF(AND(W73&lt;=15,X73&gt;=11),1,"")</f>
        <v/>
      </c>
      <c r="S73" s="38" t="str">
        <f>IF(AND(W73&lt;=20,X73&gt;=16),1,"")</f>
        <v/>
      </c>
      <c r="T73" s="38" t="str">
        <f>IF(AND(W73&lt;=25,X73&gt;=21),1,"")</f>
        <v/>
      </c>
      <c r="U73" s="38" t="str">
        <f>IF(AND(W73&lt;=30,X73&gt;=26),1,"")</f>
        <v/>
      </c>
      <c r="W73" s="26">
        <f>MAX(IFERROR(INDEX($X$14:$X$400,MATCH(AC73,$A$14:$A$400,0)),0),IFERROR(INDEX($X$14:$X$400,MATCH(AD73,$A$14:$A$400,0)),0),IFERROR(INDEX($X$14:$X$400,MATCH(AE73,$A$14:$A$400,0)),0),IFERROR(INDEX($X$14:$X$400,MATCH(AF73,$A$14:$A$400,0)),0),IFERROR(INDEX($X$14:$X$400,MATCH(AG73,$A$14:$A$400,0)),0),IFERROR(INDEX($X$14:$X$400,MATCH(AH73,$A$14:$A$400,0)),0),IFERROR(INDEX($X$14:$X$400,MATCH(AI73,$A$14:$A$400,0)),0),IFERROR(INDEX($X$14:$X$400,MATCH(AB73,$A$14:$A$400,0)),0))+1</f>
        <v>6</v>
      </c>
      <c r="X73" s="26">
        <f>W73+Y73-1</f>
        <v>7</v>
      </c>
      <c r="Y73" s="26">
        <f t="shared" si="6"/>
        <v>2</v>
      </c>
      <c r="Z73" s="26" t="s">
        <v>55</v>
      </c>
      <c r="AA73" s="26" t="s">
        <v>13</v>
      </c>
      <c r="AB73" s="26" t="s">
        <v>110</v>
      </c>
      <c r="AC73" s="26" t="s">
        <v>98</v>
      </c>
    </row>
    <row r="74" spans="1:30" x14ac:dyDescent="0.25">
      <c r="A74" s="47" t="s">
        <v>194</v>
      </c>
      <c r="B74" s="48" t="s">
        <v>195</v>
      </c>
      <c r="C74" s="49" t="s">
        <v>13</v>
      </c>
      <c r="D74" s="50">
        <v>2</v>
      </c>
      <c r="E74" s="47">
        <f>X74-W74+1</f>
        <v>1</v>
      </c>
      <c r="F74" s="51">
        <f t="shared" si="4"/>
        <v>46306</v>
      </c>
      <c r="G74" s="51">
        <f t="shared" si="5"/>
        <v>46306</v>
      </c>
      <c r="H74" s="47"/>
      <c r="I74" s="47"/>
      <c r="J74" s="50" t="s">
        <v>89</v>
      </c>
      <c r="K74" s="52">
        <v>0</v>
      </c>
      <c r="L74" s="53">
        <f>IFERROR(COUNTIFS(Checklist!$D:$D,"B2.1",Checklist!$I:$I,"Yes")/COUNTIF(Checklist!$D:$D,"B2.1"),0)</f>
        <v>0</v>
      </c>
      <c r="M74" s="47" t="str">
        <f>IF(AND(J74="Done",K74&lt;1),"Check",IF(AND(J74="In progress",K74=0),"Check",IF(AND(K74&gt;=1,J74&lt;&gt;"Done"),"Check",IF(J74="Done","Done",IF(J74="Blocked","Blocked",IF(AND($C$7&gt;X74,K74&lt;1),"Late",""))))))</f>
        <v/>
      </c>
      <c r="N74" s="54"/>
      <c r="P74" s="38" t="str">
        <f>IF(AND(W74&lt;=5,X74&gt;=1),2,"")</f>
        <v/>
      </c>
      <c r="Q74" s="38">
        <f>IF(AND(W74&lt;=10,X74&gt;=6),2,"")</f>
        <v>2</v>
      </c>
      <c r="R74" s="38" t="str">
        <f>IF(AND(W74&lt;=15,X74&gt;=11),2,"")</f>
        <v/>
      </c>
      <c r="S74" s="38" t="str">
        <f>IF(AND(W74&lt;=20,X74&gt;=16),2,"")</f>
        <v/>
      </c>
      <c r="T74" s="38" t="str">
        <f>IF(AND(W74&lt;=25,X74&gt;=21),2,"")</f>
        <v/>
      </c>
      <c r="U74" s="38" t="str">
        <f>IF(AND(W74&lt;=30,X74&gt;=26),2,"")</f>
        <v/>
      </c>
      <c r="W74" s="26">
        <f>$W$73+INT(SUM(D$74:D74)/8-D74/8+0.0001)</f>
        <v>6</v>
      </c>
      <c r="X74" s="26">
        <f>MAX(W74,$W$73+ROUNDUP(SUM(D$74:D74)/8,0)-1)</f>
        <v>6</v>
      </c>
      <c r="Y74" s="26">
        <f t="shared" si="6"/>
        <v>1</v>
      </c>
      <c r="Z74" s="26" t="s">
        <v>75</v>
      </c>
      <c r="AA74" s="26" t="s">
        <v>13</v>
      </c>
    </row>
    <row r="75" spans="1:30" x14ac:dyDescent="0.25">
      <c r="A75" s="47" t="s">
        <v>196</v>
      </c>
      <c r="B75" s="48" t="s">
        <v>197</v>
      </c>
      <c r="C75" s="49" t="s">
        <v>13</v>
      </c>
      <c r="D75" s="50">
        <v>6</v>
      </c>
      <c r="E75" s="47">
        <f>X75-W75+1</f>
        <v>1</v>
      </c>
      <c r="F75" s="51">
        <f t="shared" si="4"/>
        <v>46306</v>
      </c>
      <c r="G75" s="51">
        <f t="shared" si="5"/>
        <v>46306</v>
      </c>
      <c r="H75" s="47"/>
      <c r="I75" s="47"/>
      <c r="J75" s="50" t="s">
        <v>89</v>
      </c>
      <c r="K75" s="52">
        <v>0</v>
      </c>
      <c r="L75" s="53">
        <f>IFERROR(COUNTIFS(Checklist!$D:$D,"B2.2",Checklist!$I:$I,"Yes")/COUNTIF(Checklist!$D:$D,"B2.2"),0)</f>
        <v>0</v>
      </c>
      <c r="M75" s="47" t="str">
        <f>IF(AND(J75="Done",K75&lt;1),"Check",IF(AND(J75="In progress",K75=0),"Check",IF(AND(K75&gt;=1,J75&lt;&gt;"Done"),"Check",IF(J75="Done","Done",IF(J75="Blocked","Blocked",IF(AND($C$7&gt;X75,K75&lt;1),"Late",""))))))</f>
        <v/>
      </c>
      <c r="N75" s="54"/>
      <c r="P75" s="38" t="str">
        <f>IF(AND(W75&lt;=5,X75&gt;=1),2,"")</f>
        <v/>
      </c>
      <c r="Q75" s="38">
        <f>IF(AND(W75&lt;=10,X75&gt;=6),2,"")</f>
        <v>2</v>
      </c>
      <c r="R75" s="38" t="str">
        <f>IF(AND(W75&lt;=15,X75&gt;=11),2,"")</f>
        <v/>
      </c>
      <c r="S75" s="38" t="str">
        <f>IF(AND(W75&lt;=20,X75&gt;=16),2,"")</f>
        <v/>
      </c>
      <c r="T75" s="38" t="str">
        <f>IF(AND(W75&lt;=25,X75&gt;=21),2,"")</f>
        <v/>
      </c>
      <c r="U75" s="38" t="str">
        <f>IF(AND(W75&lt;=30,X75&gt;=26),2,"")</f>
        <v/>
      </c>
      <c r="W75" s="26">
        <f>$W$73+INT(SUM(D$74:D75)/8-D75/8+0.0001)</f>
        <v>6</v>
      </c>
      <c r="X75" s="26">
        <f>MAX(W75,$W$73+ROUNDUP(SUM(D$74:D75)/8,0)-1)</f>
        <v>6</v>
      </c>
      <c r="Y75" s="26">
        <f t="shared" si="6"/>
        <v>1</v>
      </c>
      <c r="Z75" s="26" t="s">
        <v>75</v>
      </c>
      <c r="AA75" s="26" t="s">
        <v>13</v>
      </c>
    </row>
    <row r="76" spans="1:30" x14ac:dyDescent="0.25">
      <c r="A76" s="47" t="s">
        <v>198</v>
      </c>
      <c r="B76" s="48" t="s">
        <v>199</v>
      </c>
      <c r="C76" s="49" t="s">
        <v>13</v>
      </c>
      <c r="D76" s="50">
        <v>6</v>
      </c>
      <c r="E76" s="47">
        <f>X76-W76+1</f>
        <v>1</v>
      </c>
      <c r="F76" s="51">
        <f t="shared" si="4"/>
        <v>46307</v>
      </c>
      <c r="G76" s="51">
        <f t="shared" si="5"/>
        <v>46307</v>
      </c>
      <c r="H76" s="47"/>
      <c r="I76" s="47"/>
      <c r="J76" s="50" t="s">
        <v>89</v>
      </c>
      <c r="K76" s="52">
        <v>0</v>
      </c>
      <c r="L76" s="53">
        <f>IFERROR(COUNTIFS(Checklist!$D:$D,"B2.3",Checklist!$I:$I,"Yes")/COUNTIF(Checklist!$D:$D,"B2.3"),0)</f>
        <v>0</v>
      </c>
      <c r="M76" s="47" t="str">
        <f>IF(AND(J76="Done",K76&lt;1),"Check",IF(AND(J76="In progress",K76=0),"Check",IF(AND(K76&gt;=1,J76&lt;&gt;"Done"),"Check",IF(J76="Done","Done",IF(J76="Blocked","Blocked",IF(AND($C$7&gt;X76,K76&lt;1),"Late",""))))))</f>
        <v/>
      </c>
      <c r="N76" s="54"/>
      <c r="P76" s="38" t="str">
        <f>IF(AND(W76&lt;=5,X76&gt;=1),2,"")</f>
        <v/>
      </c>
      <c r="Q76" s="38">
        <f>IF(AND(W76&lt;=10,X76&gt;=6),2,"")</f>
        <v>2</v>
      </c>
      <c r="R76" s="38" t="str">
        <f>IF(AND(W76&lt;=15,X76&gt;=11),2,"")</f>
        <v/>
      </c>
      <c r="S76" s="38" t="str">
        <f>IF(AND(W76&lt;=20,X76&gt;=16),2,"")</f>
        <v/>
      </c>
      <c r="T76" s="38" t="str">
        <f>IF(AND(W76&lt;=25,X76&gt;=21),2,"")</f>
        <v/>
      </c>
      <c r="U76" s="38" t="str">
        <f>IF(AND(W76&lt;=30,X76&gt;=26),2,"")</f>
        <v/>
      </c>
      <c r="W76" s="26">
        <f>$W$73+INT(SUM(D$74:D76)/8-D76/8+0.0001)</f>
        <v>7</v>
      </c>
      <c r="X76" s="26">
        <f>MAX(W76,$W$73+ROUNDUP(SUM(D$74:D76)/8,0)-1)</f>
        <v>7</v>
      </c>
      <c r="Y76" s="26">
        <f t="shared" si="6"/>
        <v>1</v>
      </c>
      <c r="Z76" s="26" t="s">
        <v>75</v>
      </c>
      <c r="AA76" s="26" t="s">
        <v>13</v>
      </c>
    </row>
    <row r="77" spans="1:30" ht="25.5" x14ac:dyDescent="0.25">
      <c r="A77" s="55" t="s">
        <v>200</v>
      </c>
      <c r="B77" s="56" t="s">
        <v>201</v>
      </c>
      <c r="C77" s="57" t="s">
        <v>13</v>
      </c>
      <c r="D77" s="55">
        <f>SUM(D78:D80)</f>
        <v>9</v>
      </c>
      <c r="E77" s="55">
        <f>ROUNDUP(D77/8,0)</f>
        <v>2</v>
      </c>
      <c r="F77" s="58">
        <f t="shared" si="4"/>
        <v>46308</v>
      </c>
      <c r="G77" s="58">
        <f t="shared" si="5"/>
        <v>46309</v>
      </c>
      <c r="H77" s="59" t="s">
        <v>202</v>
      </c>
      <c r="I77" s="59" t="s">
        <v>203</v>
      </c>
      <c r="J77" s="55" t="str">
        <f>IF(K77&gt;=1,"Done",IF(COUNTIF(J78:J80,"Blocked")&gt;0,"Blocked",IF(OR(K77&gt;0,COUNTIF(J78:J80,"In progress")&gt;0),"In progress","Not started")))</f>
        <v>Not started</v>
      </c>
      <c r="K77" s="60">
        <f>IFERROR(SUMPRODUCT(D78:D80,K78:K80)/D77,0)</f>
        <v>0</v>
      </c>
      <c r="L77" s="61">
        <f>IFERROR(SUMPRODUCT(D78:D80,L78:L80)/D77,0)</f>
        <v>0</v>
      </c>
      <c r="M77" s="62" t="str">
        <f>IF(J77="Done","Done",IF(J77="Blocked","Blocked",IF(AND($C$7&gt;X77,K77&lt;1),"Late","")))</f>
        <v/>
      </c>
      <c r="N77" s="59" t="str">
        <f>IF(COUNTIF(J78:J80,"Blocked")&gt;0,"Blocked subtask — see below","")</f>
        <v/>
      </c>
      <c r="P77" s="38" t="str">
        <f>IF(AND(W77&lt;=5,X77&gt;=1),1,"")</f>
        <v/>
      </c>
      <c r="Q77" s="38">
        <f>IF(AND(W77&lt;=10,X77&gt;=6),1,"")</f>
        <v>1</v>
      </c>
      <c r="R77" s="38" t="str">
        <f>IF(AND(W77&lt;=15,X77&gt;=11),1,"")</f>
        <v/>
      </c>
      <c r="S77" s="38" t="str">
        <f>IF(AND(W77&lt;=20,X77&gt;=16),1,"")</f>
        <v/>
      </c>
      <c r="T77" s="38" t="str">
        <f>IF(AND(W77&lt;=25,X77&gt;=21),1,"")</f>
        <v/>
      </c>
      <c r="U77" s="38" t="str">
        <f>IF(AND(W77&lt;=30,X77&gt;=26),1,"")</f>
        <v/>
      </c>
      <c r="W77" s="26">
        <f>MAX(IFERROR(INDEX($X$14:$X$400,MATCH(AC77,$A$14:$A$400,0)),0),IFERROR(INDEX($X$14:$X$400,MATCH(AD77,$A$14:$A$400,0)),0),IFERROR(INDEX($X$14:$X$400,MATCH(AE77,$A$14:$A$400,0)),0),IFERROR(INDEX($X$14:$X$400,MATCH(AF77,$A$14:$A$400,0)),0),IFERROR(INDEX($X$14:$X$400,MATCH(AG77,$A$14:$A$400,0)),0),IFERROR(INDEX($X$14:$X$400,MATCH(AH77,$A$14:$A$400,0)),0),IFERROR(INDEX($X$14:$X$400,MATCH(AI77,$A$14:$A$400,0)),0),IFERROR(INDEX($X$14:$X$400,MATCH(AB77,$A$14:$A$400,0)),0))+1</f>
        <v>8</v>
      </c>
      <c r="X77" s="26">
        <f>W77+Y77-1</f>
        <v>9</v>
      </c>
      <c r="Y77" s="26">
        <f t="shared" si="6"/>
        <v>2</v>
      </c>
      <c r="Z77" s="26" t="s">
        <v>55</v>
      </c>
      <c r="AA77" s="26" t="s">
        <v>13</v>
      </c>
      <c r="AB77" s="26" t="s">
        <v>191</v>
      </c>
      <c r="AC77" s="26" t="s">
        <v>110</v>
      </c>
      <c r="AD77" s="26" t="s">
        <v>96</v>
      </c>
    </row>
    <row r="78" spans="1:30" x14ac:dyDescent="0.25">
      <c r="A78" s="47" t="s">
        <v>204</v>
      </c>
      <c r="B78" s="48" t="s">
        <v>205</v>
      </c>
      <c r="C78" s="49" t="s">
        <v>13</v>
      </c>
      <c r="D78" s="50">
        <v>4</v>
      </c>
      <c r="E78" s="47">
        <f>X78-W78+1</f>
        <v>1</v>
      </c>
      <c r="F78" s="51">
        <f t="shared" si="4"/>
        <v>46308</v>
      </c>
      <c r="G78" s="51">
        <f t="shared" si="5"/>
        <v>46308</v>
      </c>
      <c r="H78" s="47"/>
      <c r="I78" s="47"/>
      <c r="J78" s="50" t="s">
        <v>89</v>
      </c>
      <c r="K78" s="52">
        <v>0</v>
      </c>
      <c r="L78" s="53">
        <f>IFERROR(COUNTIFS(Checklist!$D:$D,"M6.1",Checklist!$I:$I,"Yes")/COUNTIF(Checklist!$D:$D,"M6.1"),0)</f>
        <v>0</v>
      </c>
      <c r="M78" s="47" t="str">
        <f>IF(AND(J78="Done",K78&lt;1),"Check",IF(AND(J78="In progress",K78=0),"Check",IF(AND(K78&gt;=1,J78&lt;&gt;"Done"),"Check",IF(J78="Done","Done",IF(J78="Blocked","Blocked",IF(AND($C$7&gt;X78,K78&lt;1),"Late",""))))))</f>
        <v/>
      </c>
      <c r="N78" s="54"/>
      <c r="P78" s="38" t="str">
        <f>IF(AND(W78&lt;=5,X78&gt;=1),2,"")</f>
        <v/>
      </c>
      <c r="Q78" s="38">
        <f>IF(AND(W78&lt;=10,X78&gt;=6),2,"")</f>
        <v>2</v>
      </c>
      <c r="R78" s="38" t="str">
        <f>IF(AND(W78&lt;=15,X78&gt;=11),2,"")</f>
        <v/>
      </c>
      <c r="S78" s="38" t="str">
        <f>IF(AND(W78&lt;=20,X78&gt;=16),2,"")</f>
        <v/>
      </c>
      <c r="T78" s="38" t="str">
        <f>IF(AND(W78&lt;=25,X78&gt;=21),2,"")</f>
        <v/>
      </c>
      <c r="U78" s="38" t="str">
        <f>IF(AND(W78&lt;=30,X78&gt;=26),2,"")</f>
        <v/>
      </c>
      <c r="W78" s="26">
        <f>$W$77+INT(SUM(D$78:D78)/8-D78/8+0.0001)</f>
        <v>8</v>
      </c>
      <c r="X78" s="26">
        <f>MAX(W78,$W$77+ROUNDUP(SUM(D$78:D78)/8,0)-1)</f>
        <v>8</v>
      </c>
      <c r="Y78" s="26">
        <f t="shared" si="6"/>
        <v>1</v>
      </c>
      <c r="Z78" s="26" t="s">
        <v>75</v>
      </c>
      <c r="AA78" s="26" t="s">
        <v>13</v>
      </c>
    </row>
    <row r="79" spans="1:30" x14ac:dyDescent="0.25">
      <c r="A79" s="47" t="s">
        <v>206</v>
      </c>
      <c r="B79" s="48" t="s">
        <v>207</v>
      </c>
      <c r="C79" s="49" t="s">
        <v>13</v>
      </c>
      <c r="D79" s="50">
        <v>4</v>
      </c>
      <c r="E79" s="47">
        <f>X79-W79+1</f>
        <v>1</v>
      </c>
      <c r="F79" s="51">
        <f t="shared" si="4"/>
        <v>46308</v>
      </c>
      <c r="G79" s="51">
        <f t="shared" si="5"/>
        <v>46308</v>
      </c>
      <c r="H79" s="47"/>
      <c r="I79" s="47"/>
      <c r="J79" s="50" t="s">
        <v>89</v>
      </c>
      <c r="K79" s="52">
        <v>0</v>
      </c>
      <c r="L79" s="53">
        <f>IFERROR(COUNTIFS(Checklist!$D:$D,"M6.2",Checklist!$I:$I,"Yes")/COUNTIF(Checklist!$D:$D,"M6.2"),0)</f>
        <v>0</v>
      </c>
      <c r="M79" s="47" t="str">
        <f>IF(AND(J79="Done",K79&lt;1),"Check",IF(AND(J79="In progress",K79=0),"Check",IF(AND(K79&gt;=1,J79&lt;&gt;"Done"),"Check",IF(J79="Done","Done",IF(J79="Blocked","Blocked",IF(AND($C$7&gt;X79,K79&lt;1),"Late",""))))))</f>
        <v/>
      </c>
      <c r="N79" s="54"/>
      <c r="P79" s="38" t="str">
        <f>IF(AND(W79&lt;=5,X79&gt;=1),2,"")</f>
        <v/>
      </c>
      <c r="Q79" s="38">
        <f>IF(AND(W79&lt;=10,X79&gt;=6),2,"")</f>
        <v>2</v>
      </c>
      <c r="R79" s="38" t="str">
        <f>IF(AND(W79&lt;=15,X79&gt;=11),2,"")</f>
        <v/>
      </c>
      <c r="S79" s="38" t="str">
        <f>IF(AND(W79&lt;=20,X79&gt;=16),2,"")</f>
        <v/>
      </c>
      <c r="T79" s="38" t="str">
        <f>IF(AND(W79&lt;=25,X79&gt;=21),2,"")</f>
        <v/>
      </c>
      <c r="U79" s="38" t="str">
        <f>IF(AND(W79&lt;=30,X79&gt;=26),2,"")</f>
        <v/>
      </c>
      <c r="W79" s="26">
        <f>$W$77+INT(SUM(D$78:D79)/8-D79/8+0.0001)</f>
        <v>8</v>
      </c>
      <c r="X79" s="26">
        <f>MAX(W79,$W$77+ROUNDUP(SUM(D$78:D79)/8,0)-1)</f>
        <v>8</v>
      </c>
      <c r="Y79" s="26">
        <f t="shared" si="6"/>
        <v>1</v>
      </c>
      <c r="Z79" s="26" t="s">
        <v>75</v>
      </c>
      <c r="AA79" s="26" t="s">
        <v>13</v>
      </c>
    </row>
    <row r="80" spans="1:30" x14ac:dyDescent="0.25">
      <c r="A80" s="47" t="s">
        <v>208</v>
      </c>
      <c r="B80" s="48" t="s">
        <v>209</v>
      </c>
      <c r="C80" s="49" t="s">
        <v>13</v>
      </c>
      <c r="D80" s="50">
        <v>1</v>
      </c>
      <c r="E80" s="47">
        <f>X80-W80+1</f>
        <v>1</v>
      </c>
      <c r="F80" s="51">
        <f t="shared" si="4"/>
        <v>46309</v>
      </c>
      <c r="G80" s="51">
        <f t="shared" si="5"/>
        <v>46309</v>
      </c>
      <c r="H80" s="47"/>
      <c r="I80" s="47"/>
      <c r="J80" s="50" t="s">
        <v>89</v>
      </c>
      <c r="K80" s="52">
        <v>0</v>
      </c>
      <c r="L80" s="53">
        <f>IFERROR(COUNTIFS(Checklist!$D:$D,"M6.3",Checklist!$I:$I,"Yes")/COUNTIF(Checklist!$D:$D,"M6.3"),0)</f>
        <v>0</v>
      </c>
      <c r="M80" s="47" t="str">
        <f>IF(AND(J80="Done",K80&lt;1),"Check",IF(AND(J80="In progress",K80=0),"Check",IF(AND(K80&gt;=1,J80&lt;&gt;"Done"),"Check",IF(J80="Done","Done",IF(J80="Blocked","Blocked",IF(AND($C$7&gt;X80,K80&lt;1),"Late",""))))))</f>
        <v/>
      </c>
      <c r="N80" s="54"/>
      <c r="P80" s="38" t="str">
        <f>IF(AND(W80&lt;=5,X80&gt;=1),2,"")</f>
        <v/>
      </c>
      <c r="Q80" s="38">
        <f>IF(AND(W80&lt;=10,X80&gt;=6),2,"")</f>
        <v>2</v>
      </c>
      <c r="R80" s="38" t="str">
        <f>IF(AND(W80&lt;=15,X80&gt;=11),2,"")</f>
        <v/>
      </c>
      <c r="S80" s="38" t="str">
        <f>IF(AND(W80&lt;=20,X80&gt;=16),2,"")</f>
        <v/>
      </c>
      <c r="T80" s="38" t="str">
        <f>IF(AND(W80&lt;=25,X80&gt;=21),2,"")</f>
        <v/>
      </c>
      <c r="U80" s="38" t="str">
        <f>IF(AND(W80&lt;=30,X80&gt;=26),2,"")</f>
        <v/>
      </c>
      <c r="W80" s="26">
        <f>$W$77+INT(SUM(D$78:D80)/8-D80/8+0.0001)</f>
        <v>9</v>
      </c>
      <c r="X80" s="26">
        <f>MAX(W80,$W$77+ROUNDUP(SUM(D$78:D80)/8,0)-1)</f>
        <v>9</v>
      </c>
      <c r="Y80" s="26">
        <f t="shared" si="6"/>
        <v>1</v>
      </c>
      <c r="Z80" s="26" t="s">
        <v>75</v>
      </c>
      <c r="AA80" s="26" t="s">
        <v>13</v>
      </c>
    </row>
    <row r="81" spans="1:31" x14ac:dyDescent="0.25">
      <c r="A81" s="55" t="s">
        <v>210</v>
      </c>
      <c r="B81" s="56" t="s">
        <v>211</v>
      </c>
      <c r="C81" s="57" t="s">
        <v>13</v>
      </c>
      <c r="D81" s="55">
        <f>SUM(D82:D82)</f>
        <v>8</v>
      </c>
      <c r="E81" s="55">
        <f>ROUNDUP(D81/8,0)</f>
        <v>1</v>
      </c>
      <c r="F81" s="58">
        <f t="shared" si="4"/>
        <v>46315</v>
      </c>
      <c r="G81" s="58">
        <f t="shared" si="5"/>
        <v>46315</v>
      </c>
      <c r="H81" s="59" t="s">
        <v>212</v>
      </c>
      <c r="I81" s="59" t="s">
        <v>213</v>
      </c>
      <c r="J81" s="55" t="str">
        <f>IF(K81&gt;=1,"Done",IF(COUNTIF(J82:J82,"Blocked")&gt;0,"Blocked",IF(OR(K81&gt;0,COUNTIF(J82:J82,"In progress")&gt;0),"In progress","Not started")))</f>
        <v>Not started</v>
      </c>
      <c r="K81" s="60">
        <f>IFERROR(SUMPRODUCT(D82:D82,K82:K82)/D81,0)</f>
        <v>0</v>
      </c>
      <c r="L81" s="61">
        <f>IFERROR(SUMPRODUCT(D82:D82,L82:L82)/D81,0)</f>
        <v>0</v>
      </c>
      <c r="M81" s="62" t="str">
        <f>IF(J81="Done","Done",IF(J81="Blocked","Blocked",IF(AND($C$7&gt;X81,K81&lt;1),"Late","")))</f>
        <v/>
      </c>
      <c r="N81" s="59" t="str">
        <f>IF(COUNTIF(J82:J82,"Blocked")&gt;0,"Blocked subtask — see below","")</f>
        <v/>
      </c>
      <c r="P81" s="38" t="str">
        <f>IF(AND(W81&lt;=5,X81&gt;=1),1,"")</f>
        <v/>
      </c>
      <c r="Q81" s="38" t="str">
        <f>IF(AND(W81&lt;=10,X81&gt;=6),1,"")</f>
        <v/>
      </c>
      <c r="R81" s="38">
        <f>IF(AND(W81&lt;=15,X81&gt;=11),1,"")</f>
        <v>1</v>
      </c>
      <c r="S81" s="38" t="str">
        <f>IF(AND(W81&lt;=20,X81&gt;=16),1,"")</f>
        <v/>
      </c>
      <c r="T81" s="38" t="str">
        <f>IF(AND(W81&lt;=25,X81&gt;=21),1,"")</f>
        <v/>
      </c>
      <c r="U81" s="38" t="str">
        <f>IF(AND(W81&lt;=30,X81&gt;=26),1,"")</f>
        <v/>
      </c>
      <c r="W81" s="26">
        <f>MAX(IFERROR(INDEX($X$14:$X$400,MATCH(AC81,$A$14:$A$400,0)),0),IFERROR(INDEX($X$14:$X$400,MATCH(AD81,$A$14:$A$400,0)),0),IFERROR(INDEX($X$14:$X$400,MATCH(AE81,$A$14:$A$400,0)),0),IFERROR(INDEX($X$14:$X$400,MATCH(AF81,$A$14:$A$400,0)),0),IFERROR(INDEX($X$14:$X$400,MATCH(AG81,$A$14:$A$400,0)),0),IFERROR(INDEX($X$14:$X$400,MATCH(AH81,$A$14:$A$400,0)),0),IFERROR(INDEX($X$14:$X$400,MATCH(AI81,$A$14:$A$400,0)),0),IFERROR(INDEX($X$14:$X$400,MATCH(AB81,$A$14:$A$400,0)),0))+1</f>
        <v>13</v>
      </c>
      <c r="X81" s="26">
        <f>W81+Y81-1</f>
        <v>13</v>
      </c>
      <c r="Y81" s="26">
        <f t="shared" si="6"/>
        <v>1</v>
      </c>
      <c r="Z81" s="26" t="s">
        <v>55</v>
      </c>
      <c r="AA81" s="26" t="s">
        <v>13</v>
      </c>
      <c r="AB81" s="26" t="s">
        <v>200</v>
      </c>
      <c r="AC81" s="26" t="s">
        <v>212</v>
      </c>
    </row>
    <row r="82" spans="1:31" x14ac:dyDescent="0.25">
      <c r="A82" s="47" t="s">
        <v>214</v>
      </c>
      <c r="B82" s="48" t="s">
        <v>215</v>
      </c>
      <c r="C82" s="49" t="s">
        <v>13</v>
      </c>
      <c r="D82" s="50">
        <v>8</v>
      </c>
      <c r="E82" s="47">
        <f>X82-W82+1</f>
        <v>1</v>
      </c>
      <c r="F82" s="51">
        <f t="shared" si="4"/>
        <v>46315</v>
      </c>
      <c r="G82" s="51">
        <f t="shared" si="5"/>
        <v>46315</v>
      </c>
      <c r="H82" s="47"/>
      <c r="I82" s="47"/>
      <c r="J82" s="50" t="s">
        <v>89</v>
      </c>
      <c r="K82" s="52">
        <v>0</v>
      </c>
      <c r="L82" s="53">
        <f>IFERROR(COUNTIFS(Checklist!$D:$D,"A9.1",Checklist!$I:$I,"Yes")/COUNTIF(Checklist!$D:$D,"A9.1"),0)</f>
        <v>0</v>
      </c>
      <c r="M82" s="47" t="str">
        <f>IF(AND(J82="Done",K82&lt;1),"Check",IF(AND(J82="In progress",K82=0),"Check",IF(AND(K82&gt;=1,J82&lt;&gt;"Done"),"Check",IF(J82="Done","Done",IF(J82="Blocked","Blocked",IF(AND($C$7&gt;X82,K82&lt;1),"Late",""))))))</f>
        <v/>
      </c>
      <c r="N82" s="54"/>
      <c r="P82" s="38" t="str">
        <f>IF(AND(W82&lt;=5,X82&gt;=1),2,"")</f>
        <v/>
      </c>
      <c r="Q82" s="38" t="str">
        <f>IF(AND(W82&lt;=10,X82&gt;=6),2,"")</f>
        <v/>
      </c>
      <c r="R82" s="38">
        <f>IF(AND(W82&lt;=15,X82&gt;=11),2,"")</f>
        <v>2</v>
      </c>
      <c r="S82" s="38" t="str">
        <f>IF(AND(W82&lt;=20,X82&gt;=16),2,"")</f>
        <v/>
      </c>
      <c r="T82" s="38" t="str">
        <f>IF(AND(W82&lt;=25,X82&gt;=21),2,"")</f>
        <v/>
      </c>
      <c r="U82" s="38" t="str">
        <f>IF(AND(W82&lt;=30,X82&gt;=26),2,"")</f>
        <v/>
      </c>
      <c r="W82" s="26">
        <f>$W$81+INT(SUM(D$82:D82)/8-D82/8+0.0001)</f>
        <v>13</v>
      </c>
      <c r="X82" s="26">
        <f>MAX(W82,$W$81+ROUNDUP(SUM(D$82:D82)/8,0)-1)</f>
        <v>13</v>
      </c>
      <c r="Y82" s="26">
        <f t="shared" si="6"/>
        <v>1</v>
      </c>
      <c r="Z82" s="26" t="s">
        <v>75</v>
      </c>
      <c r="AA82" s="26" t="s">
        <v>13</v>
      </c>
    </row>
    <row r="83" spans="1:31" ht="25.5" x14ac:dyDescent="0.25">
      <c r="A83" s="55" t="s">
        <v>216</v>
      </c>
      <c r="B83" s="56" t="s">
        <v>217</v>
      </c>
      <c r="C83" s="57" t="s">
        <v>13</v>
      </c>
      <c r="D83" s="55">
        <f>SUM(D84:D86)</f>
        <v>12</v>
      </c>
      <c r="E83" s="55">
        <f>ROUNDUP(D83/8,0)</f>
        <v>2</v>
      </c>
      <c r="F83" s="58">
        <f t="shared" si="4"/>
        <v>46316</v>
      </c>
      <c r="G83" s="58">
        <f t="shared" si="5"/>
        <v>46317</v>
      </c>
      <c r="H83" s="59" t="s">
        <v>218</v>
      </c>
      <c r="I83" s="59" t="s">
        <v>219</v>
      </c>
      <c r="J83" s="55" t="str">
        <f>IF(K83&gt;=1,"Done",IF(COUNTIF(J84:J86,"Blocked")&gt;0,"Blocked",IF(OR(K83&gt;0,COUNTIF(J84:J86,"In progress")&gt;0),"In progress","Not started")))</f>
        <v>Not started</v>
      </c>
      <c r="K83" s="60">
        <f>IFERROR(SUMPRODUCT(D84:D86,K84:K86)/D83,0)</f>
        <v>0</v>
      </c>
      <c r="L83" s="61">
        <f>IFERROR(SUMPRODUCT(D84:D86,L84:L86)/D83,0)</f>
        <v>0</v>
      </c>
      <c r="M83" s="62" t="str">
        <f>IF(J83="Done","Done",IF(J83="Blocked","Blocked",IF(AND($C$7&gt;X83,K83&lt;1),"Late","")))</f>
        <v/>
      </c>
      <c r="N83" s="59" t="str">
        <f>IF(COUNTIF(J84:J86,"Blocked")&gt;0,"Blocked subtask — see below","")</f>
        <v/>
      </c>
      <c r="P83" s="38" t="str">
        <f>IF(AND(W83&lt;=5,X83&gt;=1),1,"")</f>
        <v/>
      </c>
      <c r="Q83" s="38" t="str">
        <f>IF(AND(W83&lt;=10,X83&gt;=6),1,"")</f>
        <v/>
      </c>
      <c r="R83" s="38">
        <f>IF(AND(W83&lt;=15,X83&gt;=11),1,"")</f>
        <v>1</v>
      </c>
      <c r="S83" s="38" t="str">
        <f>IF(AND(W83&lt;=20,X83&gt;=16),1,"")</f>
        <v/>
      </c>
      <c r="T83" s="38" t="str">
        <f>IF(AND(W83&lt;=25,X83&gt;=21),1,"")</f>
        <v/>
      </c>
      <c r="U83" s="38" t="str">
        <f>IF(AND(W83&lt;=30,X83&gt;=26),1,"")</f>
        <v/>
      </c>
      <c r="W83" s="26">
        <f>MAX(IFERROR(INDEX($X$14:$X$400,MATCH(AC83,$A$14:$A$400,0)),0),IFERROR(INDEX($X$14:$X$400,MATCH(AD83,$A$14:$A$400,0)),0),IFERROR(INDEX($X$14:$X$400,MATCH(AE83,$A$14:$A$400,0)),0),IFERROR(INDEX($X$14:$X$400,MATCH(AF83,$A$14:$A$400,0)),0),IFERROR(INDEX($X$14:$X$400,MATCH(AG83,$A$14:$A$400,0)),0),IFERROR(INDEX($X$14:$X$400,MATCH(AH83,$A$14:$A$400,0)),0),IFERROR(INDEX($X$14:$X$400,MATCH(AI83,$A$14:$A$400,0)),0),IFERROR(INDEX($X$14:$X$400,MATCH(AB83,$A$14:$A$400,0)),0))+1</f>
        <v>14</v>
      </c>
      <c r="X83" s="26">
        <f>W83+Y83-1</f>
        <v>15</v>
      </c>
      <c r="Y83" s="26">
        <f t="shared" si="6"/>
        <v>2</v>
      </c>
      <c r="Z83" s="26" t="s">
        <v>55</v>
      </c>
      <c r="AA83" s="26" t="s">
        <v>13</v>
      </c>
      <c r="AB83" s="26" t="s">
        <v>210</v>
      </c>
      <c r="AC83" s="26" t="s">
        <v>212</v>
      </c>
      <c r="AD83" s="26" t="s">
        <v>145</v>
      </c>
      <c r="AE83" s="26" t="s">
        <v>127</v>
      </c>
    </row>
    <row r="84" spans="1:31" x14ac:dyDescent="0.25">
      <c r="A84" s="47" t="s">
        <v>220</v>
      </c>
      <c r="B84" s="48" t="s">
        <v>221</v>
      </c>
      <c r="C84" s="49" t="s">
        <v>13</v>
      </c>
      <c r="D84" s="50">
        <v>4</v>
      </c>
      <c r="E84" s="47">
        <f>X84-W84+1</f>
        <v>1</v>
      </c>
      <c r="F84" s="51">
        <f t="shared" si="4"/>
        <v>46316</v>
      </c>
      <c r="G84" s="51">
        <f t="shared" si="5"/>
        <v>46316</v>
      </c>
      <c r="H84" s="47"/>
      <c r="I84" s="47"/>
      <c r="J84" s="50" t="s">
        <v>89</v>
      </c>
      <c r="K84" s="52">
        <v>0</v>
      </c>
      <c r="L84" s="53">
        <f>IFERROR(COUNTIFS(Checklist!$D:$D,"B6.1",Checklist!$I:$I,"Yes")/COUNTIF(Checklist!$D:$D,"B6.1"),0)</f>
        <v>0</v>
      </c>
      <c r="M84" s="47" t="str">
        <f>IF(AND(J84="Done",K84&lt;1),"Check",IF(AND(J84="In progress",K84=0),"Check",IF(AND(K84&gt;=1,J84&lt;&gt;"Done"),"Check",IF(J84="Done","Done",IF(J84="Blocked","Blocked",IF(AND($C$7&gt;X84,K84&lt;1),"Late",""))))))</f>
        <v/>
      </c>
      <c r="N84" s="54"/>
      <c r="P84" s="38" t="str">
        <f>IF(AND(W84&lt;=5,X84&gt;=1),2,"")</f>
        <v/>
      </c>
      <c r="Q84" s="38" t="str">
        <f>IF(AND(W84&lt;=10,X84&gt;=6),2,"")</f>
        <v/>
      </c>
      <c r="R84" s="38">
        <f>IF(AND(W84&lt;=15,X84&gt;=11),2,"")</f>
        <v>2</v>
      </c>
      <c r="S84" s="38" t="str">
        <f>IF(AND(W84&lt;=20,X84&gt;=16),2,"")</f>
        <v/>
      </c>
      <c r="T84" s="38" t="str">
        <f>IF(AND(W84&lt;=25,X84&gt;=21),2,"")</f>
        <v/>
      </c>
      <c r="U84" s="38" t="str">
        <f>IF(AND(W84&lt;=30,X84&gt;=26),2,"")</f>
        <v/>
      </c>
      <c r="W84" s="26">
        <f>$W$83+INT(SUM(D$84:D84)/8-D84/8+0.0001)</f>
        <v>14</v>
      </c>
      <c r="X84" s="26">
        <f>MAX(W84,$W$83+ROUNDUP(SUM(D$84:D84)/8,0)-1)</f>
        <v>14</v>
      </c>
      <c r="Y84" s="26">
        <f t="shared" si="6"/>
        <v>1</v>
      </c>
      <c r="Z84" s="26" t="s">
        <v>75</v>
      </c>
      <c r="AA84" s="26" t="s">
        <v>13</v>
      </c>
    </row>
    <row r="85" spans="1:31" x14ac:dyDescent="0.25">
      <c r="A85" s="47" t="s">
        <v>222</v>
      </c>
      <c r="B85" s="48" t="s">
        <v>223</v>
      </c>
      <c r="C85" s="49" t="s">
        <v>13</v>
      </c>
      <c r="D85" s="50">
        <v>4</v>
      </c>
      <c r="E85" s="47">
        <f>X85-W85+1</f>
        <v>1</v>
      </c>
      <c r="F85" s="51">
        <f t="shared" si="4"/>
        <v>46316</v>
      </c>
      <c r="G85" s="51">
        <f t="shared" si="5"/>
        <v>46316</v>
      </c>
      <c r="H85" s="47"/>
      <c r="I85" s="47"/>
      <c r="J85" s="50" t="s">
        <v>89</v>
      </c>
      <c r="K85" s="52">
        <v>0</v>
      </c>
      <c r="L85" s="53">
        <f>IFERROR(COUNTIFS(Checklist!$D:$D,"B6.2",Checklist!$I:$I,"Yes")/COUNTIF(Checklist!$D:$D,"B6.2"),0)</f>
        <v>0</v>
      </c>
      <c r="M85" s="47" t="str">
        <f>IF(AND(J85="Done",K85&lt;1),"Check",IF(AND(J85="In progress",K85=0),"Check",IF(AND(K85&gt;=1,J85&lt;&gt;"Done"),"Check",IF(J85="Done","Done",IF(J85="Blocked","Blocked",IF(AND($C$7&gt;X85,K85&lt;1),"Late",""))))))</f>
        <v/>
      </c>
      <c r="N85" s="54"/>
      <c r="P85" s="38" t="str">
        <f>IF(AND(W85&lt;=5,X85&gt;=1),2,"")</f>
        <v/>
      </c>
      <c r="Q85" s="38" t="str">
        <f>IF(AND(W85&lt;=10,X85&gt;=6),2,"")</f>
        <v/>
      </c>
      <c r="R85" s="38">
        <f>IF(AND(W85&lt;=15,X85&gt;=11),2,"")</f>
        <v>2</v>
      </c>
      <c r="S85" s="38" t="str">
        <f>IF(AND(W85&lt;=20,X85&gt;=16),2,"")</f>
        <v/>
      </c>
      <c r="T85" s="38" t="str">
        <f>IF(AND(W85&lt;=25,X85&gt;=21),2,"")</f>
        <v/>
      </c>
      <c r="U85" s="38" t="str">
        <f>IF(AND(W85&lt;=30,X85&gt;=26),2,"")</f>
        <v/>
      </c>
      <c r="W85" s="26">
        <f>$W$83+INT(SUM(D$84:D85)/8-D85/8+0.0001)</f>
        <v>14</v>
      </c>
      <c r="X85" s="26">
        <f>MAX(W85,$W$83+ROUNDUP(SUM(D$84:D85)/8,0)-1)</f>
        <v>14</v>
      </c>
      <c r="Y85" s="26">
        <f t="shared" si="6"/>
        <v>1</v>
      </c>
      <c r="Z85" s="26" t="s">
        <v>75</v>
      </c>
      <c r="AA85" s="26" t="s">
        <v>13</v>
      </c>
    </row>
    <row r="86" spans="1:31" x14ac:dyDescent="0.25">
      <c r="A86" s="47" t="s">
        <v>224</v>
      </c>
      <c r="B86" s="48" t="s">
        <v>225</v>
      </c>
      <c r="C86" s="49" t="s">
        <v>13</v>
      </c>
      <c r="D86" s="50">
        <v>4</v>
      </c>
      <c r="E86" s="47">
        <f>X86-W86+1</f>
        <v>1</v>
      </c>
      <c r="F86" s="51">
        <f t="shared" si="4"/>
        <v>46317</v>
      </c>
      <c r="G86" s="51">
        <f t="shared" si="5"/>
        <v>46317</v>
      </c>
      <c r="H86" s="47"/>
      <c r="I86" s="47"/>
      <c r="J86" s="50" t="s">
        <v>89</v>
      </c>
      <c r="K86" s="52">
        <v>0</v>
      </c>
      <c r="L86" s="53">
        <f>IFERROR(COUNTIFS(Checklist!$D:$D,"B6.3",Checklist!$I:$I,"Yes")/COUNTIF(Checklist!$D:$D,"B6.3"),0)</f>
        <v>0</v>
      </c>
      <c r="M86" s="47" t="str">
        <f>IF(AND(J86="Done",K86&lt;1),"Check",IF(AND(J86="In progress",K86=0),"Check",IF(AND(K86&gt;=1,J86&lt;&gt;"Done"),"Check",IF(J86="Done","Done",IF(J86="Blocked","Blocked",IF(AND($C$7&gt;X86,K86&lt;1),"Late",""))))))</f>
        <v/>
      </c>
      <c r="N86" s="54"/>
      <c r="P86" s="38" t="str">
        <f>IF(AND(W86&lt;=5,X86&gt;=1),2,"")</f>
        <v/>
      </c>
      <c r="Q86" s="38" t="str">
        <f>IF(AND(W86&lt;=10,X86&gt;=6),2,"")</f>
        <v/>
      </c>
      <c r="R86" s="38">
        <f>IF(AND(W86&lt;=15,X86&gt;=11),2,"")</f>
        <v>2</v>
      </c>
      <c r="S86" s="38" t="str">
        <f>IF(AND(W86&lt;=20,X86&gt;=16),2,"")</f>
        <v/>
      </c>
      <c r="T86" s="38" t="str">
        <f>IF(AND(W86&lt;=25,X86&gt;=21),2,"")</f>
        <v/>
      </c>
      <c r="U86" s="38" t="str">
        <f>IF(AND(W86&lt;=30,X86&gt;=26),2,"")</f>
        <v/>
      </c>
      <c r="W86" s="26">
        <f>$W$83+INT(SUM(D$84:D86)/8-D86/8+0.0001)</f>
        <v>15</v>
      </c>
      <c r="X86" s="26">
        <f>MAX(W86,$W$83+ROUNDUP(SUM(D$84:D86)/8,0)-1)</f>
        <v>15</v>
      </c>
      <c r="Y86" s="26">
        <f t="shared" si="6"/>
        <v>1</v>
      </c>
      <c r="Z86" s="26" t="s">
        <v>75</v>
      </c>
      <c r="AA86" s="26" t="s">
        <v>13</v>
      </c>
    </row>
    <row r="87" spans="1:31" x14ac:dyDescent="0.25">
      <c r="A87" s="55" t="s">
        <v>226</v>
      </c>
      <c r="B87" s="56" t="s">
        <v>227</v>
      </c>
      <c r="C87" s="57" t="s">
        <v>13</v>
      </c>
      <c r="D87" s="55">
        <f>SUM(D88:D88)</f>
        <v>4</v>
      </c>
      <c r="E87" s="55">
        <f>ROUNDUP(D87/8,0)</f>
        <v>1</v>
      </c>
      <c r="F87" s="58">
        <f t="shared" si="4"/>
        <v>46320</v>
      </c>
      <c r="G87" s="58">
        <f t="shared" si="5"/>
        <v>46320</v>
      </c>
      <c r="H87" s="59" t="s">
        <v>216</v>
      </c>
      <c r="I87" s="59" t="s">
        <v>228</v>
      </c>
      <c r="J87" s="55" t="str">
        <f>IF(K87&gt;=1,"Done",IF(COUNTIF(J88:J88,"Blocked")&gt;0,"Blocked",IF(OR(K87&gt;0,COUNTIF(J88:J88,"In progress")&gt;0),"In progress","Not started")))</f>
        <v>Not started</v>
      </c>
      <c r="K87" s="60">
        <f>IFERROR(SUMPRODUCT(D88:D88,K88:K88)/D87,0)</f>
        <v>0</v>
      </c>
      <c r="L87" s="61">
        <f>IFERROR(SUMPRODUCT(D88:D88,L88:L88)/D87,0)</f>
        <v>0</v>
      </c>
      <c r="M87" s="62" t="str">
        <f>IF(J87="Done","Done",IF(J87="Blocked","Blocked",IF(AND($C$7&gt;X87,K87&lt;1),"Late","")))</f>
        <v/>
      </c>
      <c r="N87" s="59" t="str">
        <f>IF(COUNTIF(J88:J88,"Blocked")&gt;0,"Blocked subtask — see below","")</f>
        <v/>
      </c>
      <c r="P87" s="38" t="str">
        <f>IF(AND(W87&lt;=5,X87&gt;=1),1,"")</f>
        <v/>
      </c>
      <c r="Q87" s="38" t="str">
        <f>IF(AND(W87&lt;=10,X87&gt;=6),1,"")</f>
        <v/>
      </c>
      <c r="R87" s="38" t="str">
        <f>IF(AND(W87&lt;=15,X87&gt;=11),1,"")</f>
        <v/>
      </c>
      <c r="S87" s="38">
        <f>IF(AND(W87&lt;=20,X87&gt;=16),1,"")</f>
        <v>1</v>
      </c>
      <c r="T87" s="38" t="str">
        <f>IF(AND(W87&lt;=25,X87&gt;=21),1,"")</f>
        <v/>
      </c>
      <c r="U87" s="38" t="str">
        <f>IF(AND(W87&lt;=30,X87&gt;=26),1,"")</f>
        <v/>
      </c>
      <c r="W87" s="26">
        <f>MAX(IFERROR(INDEX($X$14:$X$400,MATCH(AC87,$A$14:$A$400,0)),0),IFERROR(INDEX($X$14:$X$400,MATCH(AD87,$A$14:$A$400,0)),0),IFERROR(INDEX($X$14:$X$400,MATCH(AE87,$A$14:$A$400,0)),0),IFERROR(INDEX($X$14:$X$400,MATCH(AF87,$A$14:$A$400,0)),0),IFERROR(INDEX($X$14:$X$400,MATCH(AG87,$A$14:$A$400,0)),0),IFERROR(INDEX($X$14:$X$400,MATCH(AH87,$A$14:$A$400,0)),0),IFERROR(INDEX($X$14:$X$400,MATCH(AI87,$A$14:$A$400,0)),0),IFERROR(INDEX($X$14:$X$400,MATCH(AB87,$A$14:$A$400,0)),0))+1</f>
        <v>16</v>
      </c>
      <c r="X87" s="26">
        <f>W87+Y87-1</f>
        <v>16</v>
      </c>
      <c r="Y87" s="26">
        <f t="shared" si="6"/>
        <v>1</v>
      </c>
      <c r="Z87" s="26" t="s">
        <v>55</v>
      </c>
      <c r="AA87" s="26" t="s">
        <v>13</v>
      </c>
      <c r="AB87" s="26" t="s">
        <v>216</v>
      </c>
      <c r="AC87" s="26" t="s">
        <v>216</v>
      </c>
    </row>
    <row r="88" spans="1:31" x14ac:dyDescent="0.25">
      <c r="A88" s="47" t="s">
        <v>229</v>
      </c>
      <c r="B88" s="48" t="s">
        <v>230</v>
      </c>
      <c r="C88" s="49" t="s">
        <v>13</v>
      </c>
      <c r="D88" s="50">
        <v>4</v>
      </c>
      <c r="E88" s="47">
        <f>X88-W88+1</f>
        <v>1</v>
      </c>
      <c r="F88" s="51">
        <f t="shared" si="4"/>
        <v>46320</v>
      </c>
      <c r="G88" s="51">
        <f t="shared" si="5"/>
        <v>46320</v>
      </c>
      <c r="H88" s="47"/>
      <c r="I88" s="47"/>
      <c r="J88" s="50" t="s">
        <v>89</v>
      </c>
      <c r="K88" s="52">
        <v>0</v>
      </c>
      <c r="L88" s="53">
        <f>IFERROR(COUNTIFS(Checklist!$D:$D,"B8.1",Checklist!$I:$I,"Yes")/COUNTIF(Checklist!$D:$D,"B8.1"),0)</f>
        <v>0</v>
      </c>
      <c r="M88" s="47" t="str">
        <f>IF(AND(J88="Done",K88&lt;1),"Check",IF(AND(J88="In progress",K88=0),"Check",IF(AND(K88&gt;=1,J88&lt;&gt;"Done"),"Check",IF(J88="Done","Done",IF(J88="Blocked","Blocked",IF(AND($C$7&gt;X88,K88&lt;1),"Late",""))))))</f>
        <v/>
      </c>
      <c r="N88" s="54"/>
      <c r="P88" s="38" t="str">
        <f>IF(AND(W88&lt;=5,X88&gt;=1),2,"")</f>
        <v/>
      </c>
      <c r="Q88" s="38" t="str">
        <f>IF(AND(W88&lt;=10,X88&gt;=6),2,"")</f>
        <v/>
      </c>
      <c r="R88" s="38" t="str">
        <f>IF(AND(W88&lt;=15,X88&gt;=11),2,"")</f>
        <v/>
      </c>
      <c r="S88" s="38">
        <f>IF(AND(W88&lt;=20,X88&gt;=16),2,"")</f>
        <v>2</v>
      </c>
      <c r="T88" s="38" t="str">
        <f>IF(AND(W88&lt;=25,X88&gt;=21),2,"")</f>
        <v/>
      </c>
      <c r="U88" s="38" t="str">
        <f>IF(AND(W88&lt;=30,X88&gt;=26),2,"")</f>
        <v/>
      </c>
      <c r="W88" s="26">
        <f>$W$87+INT(SUM(D$88:D88)/8-D88/8+0.0001)</f>
        <v>16</v>
      </c>
      <c r="X88" s="26">
        <f>MAX(W88,$W$87+ROUNDUP(SUM(D$88:D88)/8,0)-1)</f>
        <v>16</v>
      </c>
      <c r="Y88" s="26">
        <f t="shared" si="6"/>
        <v>1</v>
      </c>
      <c r="Z88" s="26" t="s">
        <v>75</v>
      </c>
      <c r="AA88" s="26" t="s">
        <v>13</v>
      </c>
    </row>
    <row r="89" spans="1:31" x14ac:dyDescent="0.25">
      <c r="A89" s="55" t="s">
        <v>231</v>
      </c>
      <c r="B89" s="56" t="s">
        <v>232</v>
      </c>
      <c r="C89" s="57" t="s">
        <v>13</v>
      </c>
      <c r="D89" s="55">
        <f>SUM(D90:D91)</f>
        <v>12</v>
      </c>
      <c r="E89" s="55">
        <f>ROUNDUP(D89/8,0)</f>
        <v>2</v>
      </c>
      <c r="F89" s="58">
        <f t="shared" si="4"/>
        <v>46323</v>
      </c>
      <c r="G89" s="58">
        <f t="shared" si="5"/>
        <v>46324</v>
      </c>
      <c r="H89" s="59" t="s">
        <v>233</v>
      </c>
      <c r="I89" s="59" t="s">
        <v>234</v>
      </c>
      <c r="J89" s="55" t="str">
        <f>IF(K89&gt;=1,"Done",IF(COUNTIF(J90:J91,"Blocked")&gt;0,"Blocked",IF(OR(K89&gt;0,COUNTIF(J90:J91,"In progress")&gt;0),"In progress","Not started")))</f>
        <v>Not started</v>
      </c>
      <c r="K89" s="60">
        <f>IFERROR(SUMPRODUCT(D90:D91,K90:K91)/D89,0)</f>
        <v>0</v>
      </c>
      <c r="L89" s="61">
        <f>IFERROR(SUMPRODUCT(D90:D91,L90:L91)/D89,0)</f>
        <v>0</v>
      </c>
      <c r="M89" s="62" t="str">
        <f>IF(J89="Done","Done",IF(J89="Blocked","Blocked",IF(AND($C$7&gt;X89,K89&lt;1),"Late","")))</f>
        <v/>
      </c>
      <c r="N89" s="59" t="str">
        <f>IF(COUNTIF(J90:J91,"Blocked")&gt;0,"Blocked subtask — see below","")</f>
        <v/>
      </c>
      <c r="P89" s="38" t="str">
        <f>IF(AND(W89&lt;=5,X89&gt;=1),1,"")</f>
        <v/>
      </c>
      <c r="Q89" s="38" t="str">
        <f>IF(AND(W89&lt;=10,X89&gt;=6),1,"")</f>
        <v/>
      </c>
      <c r="R89" s="38" t="str">
        <f>IF(AND(W89&lt;=15,X89&gt;=11),1,"")</f>
        <v/>
      </c>
      <c r="S89" s="38">
        <f>IF(AND(W89&lt;=20,X89&gt;=16),1,"")</f>
        <v>1</v>
      </c>
      <c r="T89" s="38" t="str">
        <f>IF(AND(W89&lt;=25,X89&gt;=21),1,"")</f>
        <v/>
      </c>
      <c r="U89" s="38" t="str">
        <f>IF(AND(W89&lt;=30,X89&gt;=26),1,"")</f>
        <v/>
      </c>
      <c r="W89" s="26">
        <f>MAX(IFERROR(INDEX($X$14:$X$400,MATCH(AC89,$A$14:$A$400,0)),0),IFERROR(INDEX($X$14:$X$400,MATCH(AD89,$A$14:$A$400,0)),0),IFERROR(INDEX($X$14:$X$400,MATCH(AE89,$A$14:$A$400,0)),0),IFERROR(INDEX($X$14:$X$400,MATCH(AF89,$A$14:$A$400,0)),0),IFERROR(INDEX($X$14:$X$400,MATCH(AG89,$A$14:$A$400,0)),0),IFERROR(INDEX($X$14:$X$400,MATCH(AH89,$A$14:$A$400,0)),0),IFERROR(INDEX($X$14:$X$400,MATCH(AI89,$A$14:$A$400,0)),0),IFERROR(INDEX($X$14:$X$400,MATCH(AB89,$A$14:$A$400,0)),0))+1</f>
        <v>19</v>
      </c>
      <c r="X89" s="26">
        <f>W89+Y89-1</f>
        <v>20</v>
      </c>
      <c r="Y89" s="26">
        <f t="shared" si="6"/>
        <v>2</v>
      </c>
      <c r="Z89" s="26" t="s">
        <v>55</v>
      </c>
      <c r="AA89" s="26" t="s">
        <v>13</v>
      </c>
      <c r="AB89" s="26" t="s">
        <v>226</v>
      </c>
      <c r="AC89" s="26" t="s">
        <v>233</v>
      </c>
    </row>
    <row r="90" spans="1:31" x14ac:dyDescent="0.25">
      <c r="A90" s="47" t="s">
        <v>235</v>
      </c>
      <c r="B90" s="48" t="s">
        <v>236</v>
      </c>
      <c r="C90" s="49" t="s">
        <v>13</v>
      </c>
      <c r="D90" s="50">
        <v>6</v>
      </c>
      <c r="E90" s="47">
        <f>X90-W90+1</f>
        <v>1</v>
      </c>
      <c r="F90" s="51">
        <f t="shared" si="4"/>
        <v>46323</v>
      </c>
      <c r="G90" s="51">
        <f t="shared" si="5"/>
        <v>46323</v>
      </c>
      <c r="H90" s="47"/>
      <c r="I90" s="47"/>
      <c r="J90" s="50" t="s">
        <v>89</v>
      </c>
      <c r="K90" s="52">
        <v>0</v>
      </c>
      <c r="L90" s="53">
        <f>IFERROR(COUNTIFS(Checklist!$D:$D,"B9.1",Checklist!$I:$I,"Yes")/COUNTIF(Checklist!$D:$D,"B9.1"),0)</f>
        <v>0</v>
      </c>
      <c r="M90" s="47" t="str">
        <f>IF(AND(J90="Done",K90&lt;1),"Check",IF(AND(J90="In progress",K90=0),"Check",IF(AND(K90&gt;=1,J90&lt;&gt;"Done"),"Check",IF(J90="Done","Done",IF(J90="Blocked","Blocked",IF(AND($C$7&gt;X90,K90&lt;1),"Late",""))))))</f>
        <v/>
      </c>
      <c r="N90" s="54"/>
      <c r="P90" s="38" t="str">
        <f>IF(AND(W90&lt;=5,X90&gt;=1),2,"")</f>
        <v/>
      </c>
      <c r="Q90" s="38" t="str">
        <f>IF(AND(W90&lt;=10,X90&gt;=6),2,"")</f>
        <v/>
      </c>
      <c r="R90" s="38" t="str">
        <f>IF(AND(W90&lt;=15,X90&gt;=11),2,"")</f>
        <v/>
      </c>
      <c r="S90" s="38">
        <f>IF(AND(W90&lt;=20,X90&gt;=16),2,"")</f>
        <v>2</v>
      </c>
      <c r="T90" s="38" t="str">
        <f>IF(AND(W90&lt;=25,X90&gt;=21),2,"")</f>
        <v/>
      </c>
      <c r="U90" s="38" t="str">
        <f>IF(AND(W90&lt;=30,X90&gt;=26),2,"")</f>
        <v/>
      </c>
      <c r="W90" s="26">
        <f>$W$89+INT(SUM(D$90:D90)/8-D90/8+0.0001)</f>
        <v>19</v>
      </c>
      <c r="X90" s="26">
        <f>MAX(W90,$W$89+ROUNDUP(SUM(D$90:D90)/8,0)-1)</f>
        <v>19</v>
      </c>
      <c r="Y90" s="26">
        <f t="shared" si="6"/>
        <v>1</v>
      </c>
      <c r="Z90" s="26" t="s">
        <v>75</v>
      </c>
      <c r="AA90" s="26" t="s">
        <v>13</v>
      </c>
    </row>
    <row r="91" spans="1:31" x14ac:dyDescent="0.25">
      <c r="A91" s="47" t="s">
        <v>237</v>
      </c>
      <c r="B91" s="48" t="s">
        <v>238</v>
      </c>
      <c r="C91" s="49" t="s">
        <v>13</v>
      </c>
      <c r="D91" s="50">
        <v>6</v>
      </c>
      <c r="E91" s="47">
        <f>X91-W91+1</f>
        <v>2</v>
      </c>
      <c r="F91" s="51">
        <f t="shared" si="4"/>
        <v>46323</v>
      </c>
      <c r="G91" s="51">
        <f t="shared" si="5"/>
        <v>46324</v>
      </c>
      <c r="H91" s="47"/>
      <c r="I91" s="47"/>
      <c r="J91" s="50" t="s">
        <v>89</v>
      </c>
      <c r="K91" s="52">
        <v>0</v>
      </c>
      <c r="L91" s="53">
        <f>IFERROR(COUNTIFS(Checklist!$D:$D,"B9.2",Checklist!$I:$I,"Yes")/COUNTIF(Checklist!$D:$D,"B9.2"),0)</f>
        <v>0</v>
      </c>
      <c r="M91" s="47" t="str">
        <f>IF(AND(J91="Done",K91&lt;1),"Check",IF(AND(J91="In progress",K91=0),"Check",IF(AND(K91&gt;=1,J91&lt;&gt;"Done"),"Check",IF(J91="Done","Done",IF(J91="Blocked","Blocked",IF(AND($C$7&gt;X91,K91&lt;1),"Late",""))))))</f>
        <v/>
      </c>
      <c r="N91" s="54"/>
      <c r="P91" s="38" t="str">
        <f>IF(AND(W91&lt;=5,X91&gt;=1),2,"")</f>
        <v/>
      </c>
      <c r="Q91" s="38" t="str">
        <f>IF(AND(W91&lt;=10,X91&gt;=6),2,"")</f>
        <v/>
      </c>
      <c r="R91" s="38" t="str">
        <f>IF(AND(W91&lt;=15,X91&gt;=11),2,"")</f>
        <v/>
      </c>
      <c r="S91" s="38">
        <f>IF(AND(W91&lt;=20,X91&gt;=16),2,"")</f>
        <v>2</v>
      </c>
      <c r="T91" s="38" t="str">
        <f>IF(AND(W91&lt;=25,X91&gt;=21),2,"")</f>
        <v/>
      </c>
      <c r="U91" s="38" t="str">
        <f>IF(AND(W91&lt;=30,X91&gt;=26),2,"")</f>
        <v/>
      </c>
      <c r="W91" s="26">
        <f>$W$89+INT(SUM(D$90:D91)/8-D91/8+0.0001)</f>
        <v>19</v>
      </c>
      <c r="X91" s="26">
        <f>MAX(W91,$W$89+ROUNDUP(SUM(D$90:D91)/8,0)-1)</f>
        <v>20</v>
      </c>
      <c r="Y91" s="26">
        <f t="shared" si="6"/>
        <v>2</v>
      </c>
      <c r="Z91" s="26" t="s">
        <v>75</v>
      </c>
      <c r="AA91" s="26" t="s">
        <v>13</v>
      </c>
    </row>
    <row r="92" spans="1:31" x14ac:dyDescent="0.25">
      <c r="A92" s="3" t="s">
        <v>239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P92" s="8"/>
      <c r="Q92" s="8"/>
      <c r="R92" s="8"/>
      <c r="S92" s="8"/>
      <c r="T92" s="8"/>
      <c r="U92" s="8"/>
    </row>
    <row r="93" spans="1:31" ht="25.5" x14ac:dyDescent="0.25">
      <c r="A93" s="63" t="s">
        <v>240</v>
      </c>
      <c r="B93" s="64" t="s">
        <v>241</v>
      </c>
      <c r="C93" s="65" t="s">
        <v>15</v>
      </c>
      <c r="D93" s="63">
        <f>SUM(D94:D96)</f>
        <v>12</v>
      </c>
      <c r="E93" s="63">
        <f>ROUNDUP(D93/8,0)</f>
        <v>2</v>
      </c>
      <c r="F93" s="66">
        <f t="shared" ref="F93:F125" si="7">$C$5+INT((W93-1)/5)*7+MOD(W93-1,5)</f>
        <v>46299</v>
      </c>
      <c r="G93" s="66">
        <f t="shared" ref="G93:G125" si="8">$C$5+INT((X93-1)/5)*7+MOD(X93-1,5)</f>
        <v>46300</v>
      </c>
      <c r="H93" s="67" t="s">
        <v>18</v>
      </c>
      <c r="I93" s="67" t="s">
        <v>242</v>
      </c>
      <c r="J93" s="63" t="str">
        <f>IF(K93&gt;=1,"Done",IF(COUNTIF(J94:J96,"Blocked")&gt;0,"Blocked",IF(OR(K93&gt;0,COUNTIF(J94:J96,"In progress")&gt;0),"In progress","Not started")))</f>
        <v>In progress</v>
      </c>
      <c r="K93" s="68">
        <f>IFERROR(SUMPRODUCT(D94:D96,K94:K96)/D93,0)</f>
        <v>0</v>
      </c>
      <c r="L93" s="69">
        <f>IFERROR(SUMPRODUCT(D94:D96,L94:L96)/D93,0)</f>
        <v>0</v>
      </c>
      <c r="M93" s="70" t="str">
        <f>IF(J93="Done","Done",IF(J93="Blocked","Blocked",IF(AND($C$7&gt;X93,K93&lt;1),"Late","")))</f>
        <v/>
      </c>
      <c r="N93" s="67" t="str">
        <f>IF(COUNTIF(J94:J96,"Blocked")&gt;0,"Blocked subtask — see below","")</f>
        <v/>
      </c>
      <c r="P93" s="38">
        <f>IF(AND(W93&lt;=5,X93&gt;=1),1,"")</f>
        <v>1</v>
      </c>
      <c r="Q93" s="38" t="str">
        <f>IF(AND(W93&lt;=10,X93&gt;=6),1,"")</f>
        <v/>
      </c>
      <c r="R93" s="38" t="str">
        <f>IF(AND(W93&lt;=15,X93&gt;=11),1,"")</f>
        <v/>
      </c>
      <c r="S93" s="38" t="str">
        <f>IF(AND(W93&lt;=20,X93&gt;=16),1,"")</f>
        <v/>
      </c>
      <c r="T93" s="38" t="str">
        <f>IF(AND(W93&lt;=25,X93&gt;=21),1,"")</f>
        <v/>
      </c>
      <c r="U93" s="38" t="str">
        <f>IF(AND(W93&lt;=30,X93&gt;=26),1,"")</f>
        <v/>
      </c>
      <c r="W93" s="26">
        <f>MAX(IFERROR(INDEX($X$14:$X$400,MATCH(AC93,$A$14:$A$400,0)),0),IFERROR(INDEX($X$14:$X$400,MATCH(AD93,$A$14:$A$400,0)),0),IFERROR(INDEX($X$14:$X$400,MATCH(AE93,$A$14:$A$400,0)),0),IFERROR(INDEX($X$14:$X$400,MATCH(AF93,$A$14:$A$400,0)),0),IFERROR(INDEX($X$14:$X$400,MATCH(AG93,$A$14:$A$400,0)),0),IFERROR(INDEX($X$14:$X$400,MATCH(AH93,$A$14:$A$400,0)),0),IFERROR(INDEX($X$14:$X$400,MATCH(AI93,$A$14:$A$400,0)),0),IFERROR(INDEX($X$14:$X$400,MATCH(AB93,$A$14:$A$400,0)),0))+1</f>
        <v>1</v>
      </c>
      <c r="X93" s="26">
        <f>W93+Y93-1</f>
        <v>2</v>
      </c>
      <c r="Y93" s="26">
        <f t="shared" ref="Y93:Y125" si="9">E93</f>
        <v>2</v>
      </c>
      <c r="Z93" s="26" t="s">
        <v>55</v>
      </c>
      <c r="AA93" s="26" t="s">
        <v>15</v>
      </c>
    </row>
    <row r="94" spans="1:31" x14ac:dyDescent="0.25">
      <c r="A94" s="47" t="s">
        <v>243</v>
      </c>
      <c r="B94" s="48" t="s">
        <v>244</v>
      </c>
      <c r="C94" s="49" t="s">
        <v>15</v>
      </c>
      <c r="D94" s="50">
        <v>4</v>
      </c>
      <c r="E94" s="47">
        <f>X94-W94+1</f>
        <v>1</v>
      </c>
      <c r="F94" s="51">
        <f t="shared" si="7"/>
        <v>46299</v>
      </c>
      <c r="G94" s="51">
        <f t="shared" si="8"/>
        <v>46299</v>
      </c>
      <c r="H94" s="47"/>
      <c r="I94" s="47"/>
      <c r="J94" s="50" t="s">
        <v>53</v>
      </c>
      <c r="K94" s="52">
        <v>0</v>
      </c>
      <c r="L94" s="53">
        <f>IFERROR(COUNTIFS(Checklist!$D:$D,"M1.1",Checklist!$I:$I,"Yes")/COUNTIF(Checklist!$D:$D,"M1.1"),0)</f>
        <v>0</v>
      </c>
      <c r="M94" s="47" t="str">
        <f>IF(AND(J94="Done",K94&lt;1),"Check",IF(AND(J94="In progress",K94=0),"Check",IF(AND(K94&gt;=1,J94&lt;&gt;"Done"),"Check",IF(J94="Done","Done",IF(J94="Blocked","Blocked",IF(AND($C$7&gt;X94,K94&lt;1),"Late",""))))))</f>
        <v>Check</v>
      </c>
      <c r="N94" s="54"/>
      <c r="P94" s="38">
        <f>IF(AND(W94&lt;=5,X94&gt;=1),2,"")</f>
        <v>2</v>
      </c>
      <c r="Q94" s="38" t="str">
        <f>IF(AND(W94&lt;=10,X94&gt;=6),2,"")</f>
        <v/>
      </c>
      <c r="R94" s="38" t="str">
        <f>IF(AND(W94&lt;=15,X94&gt;=11),2,"")</f>
        <v/>
      </c>
      <c r="S94" s="38" t="str">
        <f>IF(AND(W94&lt;=20,X94&gt;=16),2,"")</f>
        <v/>
      </c>
      <c r="T94" s="38" t="str">
        <f>IF(AND(W94&lt;=25,X94&gt;=21),2,"")</f>
        <v/>
      </c>
      <c r="U94" s="38" t="str">
        <f>IF(AND(W94&lt;=30,X94&gt;=26),2,"")</f>
        <v/>
      </c>
      <c r="W94" s="26">
        <f>$W$93+INT(SUM(D$94:D94)/8-D94/8+0.0001)</f>
        <v>1</v>
      </c>
      <c r="X94" s="26">
        <f>MAX(W94,$W$93+ROUNDUP(SUM(D$94:D94)/8,0)-1)</f>
        <v>1</v>
      </c>
      <c r="Y94" s="26">
        <f t="shared" si="9"/>
        <v>1</v>
      </c>
      <c r="Z94" s="26" t="s">
        <v>75</v>
      </c>
      <c r="AA94" s="26" t="s">
        <v>15</v>
      </c>
    </row>
    <row r="95" spans="1:31" x14ac:dyDescent="0.25">
      <c r="A95" s="47" t="s">
        <v>245</v>
      </c>
      <c r="B95" s="48" t="s">
        <v>246</v>
      </c>
      <c r="C95" s="49" t="s">
        <v>15</v>
      </c>
      <c r="D95" s="50">
        <v>4</v>
      </c>
      <c r="E95" s="47">
        <f>X95-W95+1</f>
        <v>1</v>
      </c>
      <c r="F95" s="51">
        <f t="shared" si="7"/>
        <v>46299</v>
      </c>
      <c r="G95" s="51">
        <f t="shared" si="8"/>
        <v>46299</v>
      </c>
      <c r="H95" s="47"/>
      <c r="I95" s="47"/>
      <c r="J95" s="50" t="s">
        <v>53</v>
      </c>
      <c r="K95" s="52">
        <v>0</v>
      </c>
      <c r="L95" s="53">
        <f>IFERROR(COUNTIFS(Checklist!$D:$D,"M1.2",Checklist!$I:$I,"Yes")/COUNTIF(Checklist!$D:$D,"M1.2"),0)</f>
        <v>0</v>
      </c>
      <c r="M95" s="47" t="str">
        <f>IF(AND(J95="Done",K95&lt;1),"Check",IF(AND(J95="In progress",K95=0),"Check",IF(AND(K95&gt;=1,J95&lt;&gt;"Done"),"Check",IF(J95="Done","Done",IF(J95="Blocked","Blocked",IF(AND($C$7&gt;X95,K95&lt;1),"Late",""))))))</f>
        <v>Check</v>
      </c>
      <c r="N95" s="54"/>
      <c r="P95" s="38">
        <f>IF(AND(W95&lt;=5,X95&gt;=1),2,"")</f>
        <v>2</v>
      </c>
      <c r="Q95" s="38" t="str">
        <f>IF(AND(W95&lt;=10,X95&gt;=6),2,"")</f>
        <v/>
      </c>
      <c r="R95" s="38" t="str">
        <f>IF(AND(W95&lt;=15,X95&gt;=11),2,"")</f>
        <v/>
      </c>
      <c r="S95" s="38" t="str">
        <f>IF(AND(W95&lt;=20,X95&gt;=16),2,"")</f>
        <v/>
      </c>
      <c r="T95" s="38" t="str">
        <f>IF(AND(W95&lt;=25,X95&gt;=21),2,"")</f>
        <v/>
      </c>
      <c r="U95" s="38" t="str">
        <f>IF(AND(W95&lt;=30,X95&gt;=26),2,"")</f>
        <v/>
      </c>
      <c r="W95" s="26">
        <f>$W$93+INT(SUM(D$94:D95)/8-D95/8+0.0001)</f>
        <v>1</v>
      </c>
      <c r="X95" s="26">
        <f>MAX(W95,$W$93+ROUNDUP(SUM(D$94:D95)/8,0)-1)</f>
        <v>1</v>
      </c>
      <c r="Y95" s="26">
        <f t="shared" si="9"/>
        <v>1</v>
      </c>
      <c r="Z95" s="26" t="s">
        <v>75</v>
      </c>
      <c r="AA95" s="26" t="s">
        <v>15</v>
      </c>
    </row>
    <row r="96" spans="1:31" x14ac:dyDescent="0.25">
      <c r="A96" s="47" t="s">
        <v>247</v>
      </c>
      <c r="B96" s="48" t="s">
        <v>248</v>
      </c>
      <c r="C96" s="49" t="s">
        <v>15</v>
      </c>
      <c r="D96" s="50">
        <v>4</v>
      </c>
      <c r="E96" s="47">
        <f>X96-W96+1</f>
        <v>1</v>
      </c>
      <c r="F96" s="51">
        <f t="shared" si="7"/>
        <v>46300</v>
      </c>
      <c r="G96" s="51">
        <f t="shared" si="8"/>
        <v>46300</v>
      </c>
      <c r="H96" s="47"/>
      <c r="I96" s="47"/>
      <c r="J96" s="50" t="s">
        <v>53</v>
      </c>
      <c r="K96" s="52">
        <v>0</v>
      </c>
      <c r="L96" s="53">
        <f>IFERROR(COUNTIFS(Checklist!$D:$D,"M1.3",Checklist!$I:$I,"Yes")/COUNTIF(Checklist!$D:$D,"M1.3"),0)</f>
        <v>0</v>
      </c>
      <c r="M96" s="47" t="str">
        <f>IF(AND(J96="Done",K96&lt;1),"Check",IF(AND(J96="In progress",K96=0),"Check",IF(AND(K96&gt;=1,J96&lt;&gt;"Done"),"Check",IF(J96="Done","Done",IF(J96="Blocked","Blocked",IF(AND($C$7&gt;X96,K96&lt;1),"Late",""))))))</f>
        <v>Check</v>
      </c>
      <c r="N96" s="54"/>
      <c r="P96" s="38">
        <f>IF(AND(W96&lt;=5,X96&gt;=1),2,"")</f>
        <v>2</v>
      </c>
      <c r="Q96" s="38" t="str">
        <f>IF(AND(W96&lt;=10,X96&gt;=6),2,"")</f>
        <v/>
      </c>
      <c r="R96" s="38" t="str">
        <f>IF(AND(W96&lt;=15,X96&gt;=11),2,"")</f>
        <v/>
      </c>
      <c r="S96" s="38" t="str">
        <f>IF(AND(W96&lt;=20,X96&gt;=16),2,"")</f>
        <v/>
      </c>
      <c r="T96" s="38" t="str">
        <f>IF(AND(W96&lt;=25,X96&gt;=21),2,"")</f>
        <v/>
      </c>
      <c r="U96" s="38" t="str">
        <f>IF(AND(W96&lt;=30,X96&gt;=26),2,"")</f>
        <v/>
      </c>
      <c r="W96" s="26">
        <f>$W$93+INT(SUM(D$94:D96)/8-D96/8+0.0001)</f>
        <v>2</v>
      </c>
      <c r="X96" s="26">
        <f>MAX(W96,$W$93+ROUNDUP(SUM(D$94:D96)/8,0)-1)</f>
        <v>2</v>
      </c>
      <c r="Y96" s="26">
        <f t="shared" si="9"/>
        <v>1</v>
      </c>
      <c r="Z96" s="26" t="s">
        <v>75</v>
      </c>
      <c r="AA96" s="26" t="s">
        <v>15</v>
      </c>
    </row>
    <row r="97" spans="1:35" ht="25.5" x14ac:dyDescent="0.25">
      <c r="A97" s="63" t="s">
        <v>249</v>
      </c>
      <c r="B97" s="64" t="s">
        <v>250</v>
      </c>
      <c r="C97" s="65" t="s">
        <v>15</v>
      </c>
      <c r="D97" s="63">
        <f>SUM(D98:D99)</f>
        <v>6</v>
      </c>
      <c r="E97" s="63">
        <f>ROUNDUP(D97/8,0)</f>
        <v>1</v>
      </c>
      <c r="F97" s="66">
        <f t="shared" si="7"/>
        <v>46301</v>
      </c>
      <c r="G97" s="66">
        <f t="shared" si="8"/>
        <v>46301</v>
      </c>
      <c r="H97" s="67" t="s">
        <v>240</v>
      </c>
      <c r="I97" s="67" t="s">
        <v>251</v>
      </c>
      <c r="J97" s="63" t="str">
        <f>IF(K97&gt;=1,"Done",IF(COUNTIF(J98:J99,"Blocked")&gt;0,"Blocked",IF(OR(K97&gt;0,COUNTIF(J98:J99,"In progress")&gt;0),"In progress","Not started")))</f>
        <v>In progress</v>
      </c>
      <c r="K97" s="68">
        <f>IFERROR(SUMPRODUCT(D98:D99,K98:K99)/D97,0)</f>
        <v>0</v>
      </c>
      <c r="L97" s="69">
        <f>IFERROR(SUMPRODUCT(D98:D99,L98:L99)/D97,0)</f>
        <v>0</v>
      </c>
      <c r="M97" s="70" t="str">
        <f>IF(J97="Done","Done",IF(J97="Blocked","Blocked",IF(AND($C$7&gt;X97,K97&lt;1),"Late","")))</f>
        <v/>
      </c>
      <c r="N97" s="67" t="str">
        <f>IF(COUNTIF(J98:J99,"Blocked")&gt;0,"Blocked subtask — see below","")</f>
        <v/>
      </c>
      <c r="P97" s="38">
        <f>IF(AND(W97&lt;=5,X97&gt;=1),1,"")</f>
        <v>1</v>
      </c>
      <c r="Q97" s="38" t="str">
        <f>IF(AND(W97&lt;=10,X97&gt;=6),1,"")</f>
        <v/>
      </c>
      <c r="R97" s="38" t="str">
        <f>IF(AND(W97&lt;=15,X97&gt;=11),1,"")</f>
        <v/>
      </c>
      <c r="S97" s="38" t="str">
        <f>IF(AND(W97&lt;=20,X97&gt;=16),1,"")</f>
        <v/>
      </c>
      <c r="T97" s="38" t="str">
        <f>IF(AND(W97&lt;=25,X97&gt;=21),1,"")</f>
        <v/>
      </c>
      <c r="U97" s="38" t="str">
        <f>IF(AND(W97&lt;=30,X97&gt;=26),1,"")</f>
        <v/>
      </c>
      <c r="W97" s="26">
        <f>MAX(IFERROR(INDEX($X$14:$X$400,MATCH(AC97,$A$14:$A$400,0)),0),IFERROR(INDEX($X$14:$X$400,MATCH(AD97,$A$14:$A$400,0)),0),IFERROR(INDEX($X$14:$X$400,MATCH(AE97,$A$14:$A$400,0)),0),IFERROR(INDEX($X$14:$X$400,MATCH(AF97,$A$14:$A$400,0)),0),IFERROR(INDEX($X$14:$X$400,MATCH(AG97,$A$14:$A$400,0)),0),IFERROR(INDEX($X$14:$X$400,MATCH(AH97,$A$14:$A$400,0)),0),IFERROR(INDEX($X$14:$X$400,MATCH(AI97,$A$14:$A$400,0)),0),IFERROR(INDEX($X$14:$X$400,MATCH(AB97,$A$14:$A$400,0)),0))+1</f>
        <v>3</v>
      </c>
      <c r="X97" s="26">
        <f>W97+Y97-1</f>
        <v>3</v>
      </c>
      <c r="Y97" s="26">
        <f t="shared" si="9"/>
        <v>1</v>
      </c>
      <c r="Z97" s="26" t="s">
        <v>55</v>
      </c>
      <c r="AA97" s="26" t="s">
        <v>15</v>
      </c>
      <c r="AB97" s="26" t="s">
        <v>240</v>
      </c>
      <c r="AC97" s="26" t="s">
        <v>240</v>
      </c>
    </row>
    <row r="98" spans="1:35" x14ac:dyDescent="0.25">
      <c r="A98" s="47" t="s">
        <v>252</v>
      </c>
      <c r="B98" s="48" t="s">
        <v>253</v>
      </c>
      <c r="C98" s="49" t="s">
        <v>15</v>
      </c>
      <c r="D98" s="50">
        <v>4</v>
      </c>
      <c r="E98" s="47">
        <f>X98-W98+1</f>
        <v>1</v>
      </c>
      <c r="F98" s="51">
        <f t="shared" si="7"/>
        <v>46301</v>
      </c>
      <c r="G98" s="51">
        <f t="shared" si="8"/>
        <v>46301</v>
      </c>
      <c r="H98" s="47"/>
      <c r="I98" s="47"/>
      <c r="J98" s="50" t="s">
        <v>53</v>
      </c>
      <c r="K98" s="52">
        <v>0</v>
      </c>
      <c r="L98" s="53">
        <f>IFERROR(COUNTIFS(Checklist!$D:$D,"M2.1",Checklist!$I:$I,"Yes")/COUNTIF(Checklist!$D:$D,"M2.1"),0)</f>
        <v>0</v>
      </c>
      <c r="M98" s="47" t="str">
        <f>IF(AND(J98="Done",K98&lt;1),"Check",IF(AND(J98="In progress",K98=0),"Check",IF(AND(K98&gt;=1,J98&lt;&gt;"Done"),"Check",IF(J98="Done","Done",IF(J98="Blocked","Blocked",IF(AND($C$7&gt;X98,K98&lt;1),"Late",""))))))</f>
        <v>Check</v>
      </c>
      <c r="N98" s="54"/>
      <c r="P98" s="38">
        <f>IF(AND(W98&lt;=5,X98&gt;=1),2,"")</f>
        <v>2</v>
      </c>
      <c r="Q98" s="38" t="str">
        <f>IF(AND(W98&lt;=10,X98&gt;=6),2,"")</f>
        <v/>
      </c>
      <c r="R98" s="38" t="str">
        <f>IF(AND(W98&lt;=15,X98&gt;=11),2,"")</f>
        <v/>
      </c>
      <c r="S98" s="38" t="str">
        <f>IF(AND(W98&lt;=20,X98&gt;=16),2,"")</f>
        <v/>
      </c>
      <c r="T98" s="38" t="str">
        <f>IF(AND(W98&lt;=25,X98&gt;=21),2,"")</f>
        <v/>
      </c>
      <c r="U98" s="38" t="str">
        <f>IF(AND(W98&lt;=30,X98&gt;=26),2,"")</f>
        <v/>
      </c>
      <c r="W98" s="26">
        <f>$W$97+INT(SUM(D$98:D98)/8-D98/8+0.0001)</f>
        <v>3</v>
      </c>
      <c r="X98" s="26">
        <f>MAX(W98,$W$97+ROUNDUP(SUM(D$98:D98)/8,0)-1)</f>
        <v>3</v>
      </c>
      <c r="Y98" s="26">
        <f t="shared" si="9"/>
        <v>1</v>
      </c>
      <c r="Z98" s="26" t="s">
        <v>75</v>
      </c>
      <c r="AA98" s="26" t="s">
        <v>15</v>
      </c>
    </row>
    <row r="99" spans="1:35" x14ac:dyDescent="0.25">
      <c r="A99" s="47" t="s">
        <v>254</v>
      </c>
      <c r="B99" s="48" t="s">
        <v>255</v>
      </c>
      <c r="C99" s="49" t="s">
        <v>15</v>
      </c>
      <c r="D99" s="50">
        <v>2</v>
      </c>
      <c r="E99" s="47">
        <f>X99-W99+1</f>
        <v>1</v>
      </c>
      <c r="F99" s="51">
        <f t="shared" si="7"/>
        <v>46301</v>
      </c>
      <c r="G99" s="51">
        <f t="shared" si="8"/>
        <v>46301</v>
      </c>
      <c r="H99" s="47"/>
      <c r="I99" s="47"/>
      <c r="J99" s="50" t="s">
        <v>53</v>
      </c>
      <c r="K99" s="52">
        <v>0</v>
      </c>
      <c r="L99" s="53">
        <f>IFERROR(COUNTIFS(Checklist!$D:$D,"M2.2",Checklist!$I:$I,"Yes")/COUNTIF(Checklist!$D:$D,"M2.2"),0)</f>
        <v>0</v>
      </c>
      <c r="M99" s="47" t="str">
        <f>IF(AND(J99="Done",K99&lt;1),"Check",IF(AND(J99="In progress",K99=0),"Check",IF(AND(K99&gt;=1,J99&lt;&gt;"Done"),"Check",IF(J99="Done","Done",IF(J99="Blocked","Blocked",IF(AND($C$7&gt;X99,K99&lt;1),"Late",""))))))</f>
        <v>Check</v>
      </c>
      <c r="N99" s="54"/>
      <c r="P99" s="38">
        <f>IF(AND(W99&lt;=5,X99&gt;=1),2,"")</f>
        <v>2</v>
      </c>
      <c r="Q99" s="38" t="str">
        <f>IF(AND(W99&lt;=10,X99&gt;=6),2,"")</f>
        <v/>
      </c>
      <c r="R99" s="38" t="str">
        <f>IF(AND(W99&lt;=15,X99&gt;=11),2,"")</f>
        <v/>
      </c>
      <c r="S99" s="38" t="str">
        <f>IF(AND(W99&lt;=20,X99&gt;=16),2,"")</f>
        <v/>
      </c>
      <c r="T99" s="38" t="str">
        <f>IF(AND(W99&lt;=25,X99&gt;=21),2,"")</f>
        <v/>
      </c>
      <c r="U99" s="38" t="str">
        <f>IF(AND(W99&lt;=30,X99&gt;=26),2,"")</f>
        <v/>
      </c>
      <c r="W99" s="26">
        <f>$W$97+INT(SUM(D$98:D99)/8-D99/8+0.0001)</f>
        <v>3</v>
      </c>
      <c r="X99" s="26">
        <f>MAX(W99,$W$97+ROUNDUP(SUM(D$98:D99)/8,0)-1)</f>
        <v>3</v>
      </c>
      <c r="Y99" s="26">
        <f t="shared" si="9"/>
        <v>1</v>
      </c>
      <c r="Z99" s="26" t="s">
        <v>75</v>
      </c>
      <c r="AA99" s="26" t="s">
        <v>15</v>
      </c>
    </row>
    <row r="100" spans="1:35" ht="25.5" x14ac:dyDescent="0.25">
      <c r="A100" s="63" t="s">
        <v>256</v>
      </c>
      <c r="B100" s="64" t="s">
        <v>257</v>
      </c>
      <c r="C100" s="65" t="s">
        <v>15</v>
      </c>
      <c r="D100" s="63">
        <f>SUM(D101:D101)</f>
        <v>8</v>
      </c>
      <c r="E100" s="63">
        <f>ROUNDUP(D100/8,0)</f>
        <v>1</v>
      </c>
      <c r="F100" s="66">
        <f t="shared" si="7"/>
        <v>46306</v>
      </c>
      <c r="G100" s="66">
        <f t="shared" si="8"/>
        <v>46306</v>
      </c>
      <c r="H100" s="67" t="s">
        <v>49</v>
      </c>
      <c r="I100" s="67" t="s">
        <v>258</v>
      </c>
      <c r="J100" s="63" t="str">
        <f>IF(K100&gt;=1,"Done",IF(COUNTIF(J101:J101,"Blocked")&gt;0,"Blocked",IF(OR(K100&gt;0,COUNTIF(J101:J101,"In progress")&gt;0),"In progress","Not started")))</f>
        <v>Not started</v>
      </c>
      <c r="K100" s="68">
        <f>IFERROR(SUMPRODUCT(D101:D101,K101:K101)/D100,0)</f>
        <v>0</v>
      </c>
      <c r="L100" s="69">
        <f>IFERROR(SUMPRODUCT(D101:D101,L101:L101)/D100,0)</f>
        <v>0</v>
      </c>
      <c r="M100" s="70" t="str">
        <f>IF(J100="Done","Done",IF(J100="Blocked","Blocked",IF(AND($C$7&gt;X100,K100&lt;1),"Late","")))</f>
        <v/>
      </c>
      <c r="N100" s="67" t="str">
        <f>IF(COUNTIF(J101:J101,"Blocked")&gt;0,"Blocked subtask — see below","")</f>
        <v/>
      </c>
      <c r="P100" s="38" t="str">
        <f>IF(AND(W100&lt;=5,X100&gt;=1),1,"")</f>
        <v/>
      </c>
      <c r="Q100" s="38">
        <f>IF(AND(W100&lt;=10,X100&gt;=6),1,"")</f>
        <v>1</v>
      </c>
      <c r="R100" s="38" t="str">
        <f>IF(AND(W100&lt;=15,X100&gt;=11),1,"")</f>
        <v/>
      </c>
      <c r="S100" s="38" t="str">
        <f>IF(AND(W100&lt;=20,X100&gt;=16),1,"")</f>
        <v/>
      </c>
      <c r="T100" s="38" t="str">
        <f>IF(AND(W100&lt;=25,X100&gt;=21),1,"")</f>
        <v/>
      </c>
      <c r="U100" s="38" t="str">
        <f>IF(AND(W100&lt;=30,X100&gt;=26),1,"")</f>
        <v/>
      </c>
      <c r="W100" s="26">
        <f>MAX(IFERROR(INDEX($X$14:$X$400,MATCH(AC100,$A$14:$A$400,0)),0),IFERROR(INDEX($X$14:$X$400,MATCH(AD100,$A$14:$A$400,0)),0),IFERROR(INDEX($X$14:$X$400,MATCH(AE100,$A$14:$A$400,0)),0),IFERROR(INDEX($X$14:$X$400,MATCH(AF100,$A$14:$A$400,0)),0),IFERROR(INDEX($X$14:$X$400,MATCH(AG100,$A$14:$A$400,0)),0),IFERROR(INDEX($X$14:$X$400,MATCH(AH100,$A$14:$A$400,0)),0),IFERROR(INDEX($X$14:$X$400,MATCH(AI100,$A$14:$A$400,0)),0),IFERROR(INDEX($X$14:$X$400,MATCH(AB100,$A$14:$A$400,0)),0))+1</f>
        <v>6</v>
      </c>
      <c r="X100" s="26">
        <f>W100+Y100-1</f>
        <v>6</v>
      </c>
      <c r="Y100" s="26">
        <f t="shared" si="9"/>
        <v>1</v>
      </c>
      <c r="Z100" s="26" t="s">
        <v>55</v>
      </c>
      <c r="AA100" s="26" t="s">
        <v>15</v>
      </c>
      <c r="AB100" s="26" t="s">
        <v>249</v>
      </c>
      <c r="AC100" s="26" t="s">
        <v>49</v>
      </c>
    </row>
    <row r="101" spans="1:35" x14ac:dyDescent="0.25">
      <c r="A101" s="47" t="s">
        <v>259</v>
      </c>
      <c r="B101" s="48" t="s">
        <v>260</v>
      </c>
      <c r="C101" s="49" t="s">
        <v>15</v>
      </c>
      <c r="D101" s="50">
        <v>8</v>
      </c>
      <c r="E101" s="47">
        <f>X101-W101+1</f>
        <v>1</v>
      </c>
      <c r="F101" s="51">
        <f t="shared" si="7"/>
        <v>46306</v>
      </c>
      <c r="G101" s="51">
        <f t="shared" si="8"/>
        <v>46306</v>
      </c>
      <c r="H101" s="47"/>
      <c r="I101" s="47"/>
      <c r="J101" s="50" t="s">
        <v>89</v>
      </c>
      <c r="K101" s="52">
        <v>0</v>
      </c>
      <c r="L101" s="53">
        <f>IFERROR(COUNTIFS(Checklist!$D:$D,"A8.1",Checklist!$I:$I,"Yes")/COUNTIF(Checklist!$D:$D,"A8.1"),0)</f>
        <v>0</v>
      </c>
      <c r="M101" s="47" t="str">
        <f>IF(AND(J101="Done",K101&lt;1),"Check",IF(AND(J101="In progress",K101=0),"Check",IF(AND(K101&gt;=1,J101&lt;&gt;"Done"),"Check",IF(J101="Done","Done",IF(J101="Blocked","Blocked",IF(AND($C$7&gt;X101,K101&lt;1),"Late",""))))))</f>
        <v/>
      </c>
      <c r="N101" s="54"/>
      <c r="P101" s="38" t="str">
        <f>IF(AND(W101&lt;=5,X101&gt;=1),2,"")</f>
        <v/>
      </c>
      <c r="Q101" s="38">
        <f>IF(AND(W101&lt;=10,X101&gt;=6),2,"")</f>
        <v>2</v>
      </c>
      <c r="R101" s="38" t="str">
        <f>IF(AND(W101&lt;=15,X101&gt;=11),2,"")</f>
        <v/>
      </c>
      <c r="S101" s="38" t="str">
        <f>IF(AND(W101&lt;=20,X101&gt;=16),2,"")</f>
        <v/>
      </c>
      <c r="T101" s="38" t="str">
        <f>IF(AND(W101&lt;=25,X101&gt;=21),2,"")</f>
        <v/>
      </c>
      <c r="U101" s="38" t="str">
        <f>IF(AND(W101&lt;=30,X101&gt;=26),2,"")</f>
        <v/>
      </c>
      <c r="W101" s="26">
        <f>$W$100+INT(SUM(D$101:D101)/8-D101/8+0.0001)</f>
        <v>6</v>
      </c>
      <c r="X101" s="26">
        <f>MAX(W101,$W$100+ROUNDUP(SUM(D$101:D101)/8,0)-1)</f>
        <v>6</v>
      </c>
      <c r="Y101" s="26">
        <f t="shared" si="9"/>
        <v>1</v>
      </c>
      <c r="Z101" s="26" t="s">
        <v>75</v>
      </c>
      <c r="AA101" s="26" t="s">
        <v>15</v>
      </c>
    </row>
    <row r="102" spans="1:35" ht="25.5" x14ac:dyDescent="0.25">
      <c r="A102" s="63" t="s">
        <v>261</v>
      </c>
      <c r="B102" s="64" t="s">
        <v>262</v>
      </c>
      <c r="C102" s="65" t="s">
        <v>15</v>
      </c>
      <c r="D102" s="63">
        <f>SUM(D103:D107)</f>
        <v>22</v>
      </c>
      <c r="E102" s="63">
        <f>ROUNDUP(D102/8,0)</f>
        <v>3</v>
      </c>
      <c r="F102" s="66">
        <f t="shared" si="7"/>
        <v>46307</v>
      </c>
      <c r="G102" s="66">
        <f t="shared" si="8"/>
        <v>46309</v>
      </c>
      <c r="H102" s="67" t="s">
        <v>263</v>
      </c>
      <c r="I102" s="67" t="s">
        <v>264</v>
      </c>
      <c r="J102" s="63" t="str">
        <f>IF(K102&gt;=1,"Done",IF(COUNTIF(J103:J107,"Blocked")&gt;0,"Blocked",IF(OR(K102&gt;0,COUNTIF(J103:J107,"In progress")&gt;0),"In progress","Not started")))</f>
        <v>Not started</v>
      </c>
      <c r="K102" s="68">
        <f>IFERROR(SUMPRODUCT(D103:D107,K103:K107)/D102,0)</f>
        <v>0</v>
      </c>
      <c r="L102" s="69">
        <f>IFERROR(SUMPRODUCT(D103:D107,L103:L107)/D102,0)</f>
        <v>0</v>
      </c>
      <c r="M102" s="70" t="str">
        <f>IF(J102="Done","Done",IF(J102="Blocked","Blocked",IF(AND($C$7&gt;X102,K102&lt;1),"Late","")))</f>
        <v/>
      </c>
      <c r="N102" s="67" t="str">
        <f>IF(COUNTIF(J103:J107,"Blocked")&gt;0,"Blocked subtask — see below","")</f>
        <v/>
      </c>
      <c r="P102" s="38" t="str">
        <f>IF(AND(W102&lt;=5,X102&gt;=1),1,"")</f>
        <v/>
      </c>
      <c r="Q102" s="38">
        <f>IF(AND(W102&lt;=10,X102&gt;=6),1,"")</f>
        <v>1</v>
      </c>
      <c r="R102" s="38" t="str">
        <f>IF(AND(W102&lt;=15,X102&gt;=11),1,"")</f>
        <v/>
      </c>
      <c r="S102" s="38" t="str">
        <f>IF(AND(W102&lt;=20,X102&gt;=16),1,"")</f>
        <v/>
      </c>
      <c r="T102" s="38" t="str">
        <f>IF(AND(W102&lt;=25,X102&gt;=21),1,"")</f>
        <v/>
      </c>
      <c r="U102" s="38" t="str">
        <f>IF(AND(W102&lt;=30,X102&gt;=26),1,"")</f>
        <v/>
      </c>
      <c r="W102" s="26">
        <f>MAX(IFERROR(INDEX($X$14:$X$400,MATCH(AC102,$A$14:$A$400,0)),0),IFERROR(INDEX($X$14:$X$400,MATCH(AD102,$A$14:$A$400,0)),0),IFERROR(INDEX($X$14:$X$400,MATCH(AE102,$A$14:$A$400,0)),0),IFERROR(INDEX($X$14:$X$400,MATCH(AF102,$A$14:$A$400,0)),0),IFERROR(INDEX($X$14:$X$400,MATCH(AG102,$A$14:$A$400,0)),0),IFERROR(INDEX($X$14:$X$400,MATCH(AH102,$A$14:$A$400,0)),0),IFERROR(INDEX($X$14:$X$400,MATCH(AI102,$A$14:$A$400,0)),0),IFERROR(INDEX($X$14:$X$400,MATCH(AB102,$A$14:$A$400,0)),0))+1</f>
        <v>7</v>
      </c>
      <c r="X102" s="26">
        <f>W102+Y102-1</f>
        <v>9</v>
      </c>
      <c r="Y102" s="26">
        <f t="shared" si="9"/>
        <v>3</v>
      </c>
      <c r="Z102" s="26" t="s">
        <v>55</v>
      </c>
      <c r="AA102" s="26" t="s">
        <v>15</v>
      </c>
      <c r="AB102" s="26" t="s">
        <v>256</v>
      </c>
      <c r="AC102" s="26" t="s">
        <v>98</v>
      </c>
      <c r="AD102" s="26" t="s">
        <v>57</v>
      </c>
    </row>
    <row r="103" spans="1:35" x14ac:dyDescent="0.25">
      <c r="A103" s="47" t="s">
        <v>265</v>
      </c>
      <c r="B103" s="48" t="s">
        <v>266</v>
      </c>
      <c r="C103" s="49" t="s">
        <v>15</v>
      </c>
      <c r="D103" s="50">
        <v>4</v>
      </c>
      <c r="E103" s="47">
        <f>X103-W103+1</f>
        <v>1</v>
      </c>
      <c r="F103" s="51">
        <f t="shared" si="7"/>
        <v>46307</v>
      </c>
      <c r="G103" s="51">
        <f t="shared" si="8"/>
        <v>46307</v>
      </c>
      <c r="H103" s="47"/>
      <c r="I103" s="47"/>
      <c r="J103" s="50" t="s">
        <v>89</v>
      </c>
      <c r="K103" s="52">
        <v>0</v>
      </c>
      <c r="L103" s="53">
        <f>IFERROR(COUNTIFS(Checklist!$D:$D,"M3.1",Checklist!$I:$I,"Yes")/COUNTIF(Checklist!$D:$D,"M3.1"),0)</f>
        <v>0</v>
      </c>
      <c r="M103" s="47" t="str">
        <f>IF(AND(J103="Done",K103&lt;1),"Check",IF(AND(J103="In progress",K103=0),"Check",IF(AND(K103&gt;=1,J103&lt;&gt;"Done"),"Check",IF(J103="Done","Done",IF(J103="Blocked","Blocked",IF(AND($C$7&gt;X103,K103&lt;1),"Late",""))))))</f>
        <v/>
      </c>
      <c r="N103" s="54"/>
      <c r="P103" s="38" t="str">
        <f>IF(AND(W103&lt;=5,X103&gt;=1),2,"")</f>
        <v/>
      </c>
      <c r="Q103" s="38">
        <f>IF(AND(W103&lt;=10,X103&gt;=6),2,"")</f>
        <v>2</v>
      </c>
      <c r="R103" s="38" t="str">
        <f>IF(AND(W103&lt;=15,X103&gt;=11),2,"")</f>
        <v/>
      </c>
      <c r="S103" s="38" t="str">
        <f>IF(AND(W103&lt;=20,X103&gt;=16),2,"")</f>
        <v/>
      </c>
      <c r="T103" s="38" t="str">
        <f>IF(AND(W103&lt;=25,X103&gt;=21),2,"")</f>
        <v/>
      </c>
      <c r="U103" s="38" t="str">
        <f>IF(AND(W103&lt;=30,X103&gt;=26),2,"")</f>
        <v/>
      </c>
      <c r="W103" s="26">
        <f>$W$102+INT(SUM(D$103:D103)/8-D103/8+0.0001)</f>
        <v>7</v>
      </c>
      <c r="X103" s="26">
        <f>MAX(W103,$W$102+ROUNDUP(SUM(D$103:D103)/8,0)-1)</f>
        <v>7</v>
      </c>
      <c r="Y103" s="26">
        <f t="shared" si="9"/>
        <v>1</v>
      </c>
      <c r="Z103" s="26" t="s">
        <v>75</v>
      </c>
      <c r="AA103" s="26" t="s">
        <v>15</v>
      </c>
    </row>
    <row r="104" spans="1:35" x14ac:dyDescent="0.25">
      <c r="A104" s="47" t="s">
        <v>267</v>
      </c>
      <c r="B104" s="48" t="s">
        <v>268</v>
      </c>
      <c r="C104" s="49" t="s">
        <v>15</v>
      </c>
      <c r="D104" s="50">
        <v>4</v>
      </c>
      <c r="E104" s="47">
        <f>X104-W104+1</f>
        <v>1</v>
      </c>
      <c r="F104" s="51">
        <f t="shared" si="7"/>
        <v>46307</v>
      </c>
      <c r="G104" s="51">
        <f t="shared" si="8"/>
        <v>46307</v>
      </c>
      <c r="H104" s="47"/>
      <c r="I104" s="47"/>
      <c r="J104" s="50" t="s">
        <v>89</v>
      </c>
      <c r="K104" s="52">
        <v>0</v>
      </c>
      <c r="L104" s="53">
        <f>IFERROR(COUNTIFS(Checklist!$D:$D,"M3.2",Checklist!$I:$I,"Yes")/COUNTIF(Checklist!$D:$D,"M3.2"),0)</f>
        <v>0</v>
      </c>
      <c r="M104" s="47" t="str">
        <f>IF(AND(J104="Done",K104&lt;1),"Check",IF(AND(J104="In progress",K104=0),"Check",IF(AND(K104&gt;=1,J104&lt;&gt;"Done"),"Check",IF(J104="Done","Done",IF(J104="Blocked","Blocked",IF(AND($C$7&gt;X104,K104&lt;1),"Late",""))))))</f>
        <v/>
      </c>
      <c r="N104" s="54"/>
      <c r="P104" s="38" t="str">
        <f>IF(AND(W104&lt;=5,X104&gt;=1),2,"")</f>
        <v/>
      </c>
      <c r="Q104" s="38">
        <f>IF(AND(W104&lt;=10,X104&gt;=6),2,"")</f>
        <v>2</v>
      </c>
      <c r="R104" s="38" t="str">
        <f>IF(AND(W104&lt;=15,X104&gt;=11),2,"")</f>
        <v/>
      </c>
      <c r="S104" s="38" t="str">
        <f>IF(AND(W104&lt;=20,X104&gt;=16),2,"")</f>
        <v/>
      </c>
      <c r="T104" s="38" t="str">
        <f>IF(AND(W104&lt;=25,X104&gt;=21),2,"")</f>
        <v/>
      </c>
      <c r="U104" s="38" t="str">
        <f>IF(AND(W104&lt;=30,X104&gt;=26),2,"")</f>
        <v/>
      </c>
      <c r="W104" s="26">
        <f>$W$102+INT(SUM(D$103:D104)/8-D104/8+0.0001)</f>
        <v>7</v>
      </c>
      <c r="X104" s="26">
        <f>MAX(W104,$W$102+ROUNDUP(SUM(D$103:D104)/8,0)-1)</f>
        <v>7</v>
      </c>
      <c r="Y104" s="26">
        <f t="shared" si="9"/>
        <v>1</v>
      </c>
      <c r="Z104" s="26" t="s">
        <v>75</v>
      </c>
      <c r="AA104" s="26" t="s">
        <v>15</v>
      </c>
    </row>
    <row r="105" spans="1:35" x14ac:dyDescent="0.25">
      <c r="A105" s="47" t="s">
        <v>269</v>
      </c>
      <c r="B105" s="48" t="s">
        <v>270</v>
      </c>
      <c r="C105" s="49" t="s">
        <v>15</v>
      </c>
      <c r="D105" s="50">
        <v>4</v>
      </c>
      <c r="E105" s="47">
        <f>X105-W105+1</f>
        <v>1</v>
      </c>
      <c r="F105" s="51">
        <f t="shared" si="7"/>
        <v>46308</v>
      </c>
      <c r="G105" s="51">
        <f t="shared" si="8"/>
        <v>46308</v>
      </c>
      <c r="H105" s="47"/>
      <c r="I105" s="47"/>
      <c r="J105" s="50" t="s">
        <v>89</v>
      </c>
      <c r="K105" s="52">
        <v>0</v>
      </c>
      <c r="L105" s="53">
        <f>IFERROR(COUNTIFS(Checklist!$D:$D,"M3.3",Checklist!$I:$I,"Yes")/COUNTIF(Checklist!$D:$D,"M3.3"),0)</f>
        <v>0</v>
      </c>
      <c r="M105" s="47" t="str">
        <f>IF(AND(J105="Done",K105&lt;1),"Check",IF(AND(J105="In progress",K105=0),"Check",IF(AND(K105&gt;=1,J105&lt;&gt;"Done"),"Check",IF(J105="Done","Done",IF(J105="Blocked","Blocked",IF(AND($C$7&gt;X105,K105&lt;1),"Late",""))))))</f>
        <v/>
      </c>
      <c r="N105" s="54"/>
      <c r="P105" s="38" t="str">
        <f>IF(AND(W105&lt;=5,X105&gt;=1),2,"")</f>
        <v/>
      </c>
      <c r="Q105" s="38">
        <f>IF(AND(W105&lt;=10,X105&gt;=6),2,"")</f>
        <v>2</v>
      </c>
      <c r="R105" s="38" t="str">
        <f>IF(AND(W105&lt;=15,X105&gt;=11),2,"")</f>
        <v/>
      </c>
      <c r="S105" s="38" t="str">
        <f>IF(AND(W105&lt;=20,X105&gt;=16),2,"")</f>
        <v/>
      </c>
      <c r="T105" s="38" t="str">
        <f>IF(AND(W105&lt;=25,X105&gt;=21),2,"")</f>
        <v/>
      </c>
      <c r="U105" s="38" t="str">
        <f>IF(AND(W105&lt;=30,X105&gt;=26),2,"")</f>
        <v/>
      </c>
      <c r="W105" s="26">
        <f>$W$102+INT(SUM(D$103:D105)/8-D105/8+0.0001)</f>
        <v>8</v>
      </c>
      <c r="X105" s="26">
        <f>MAX(W105,$W$102+ROUNDUP(SUM(D$103:D105)/8,0)-1)</f>
        <v>8</v>
      </c>
      <c r="Y105" s="26">
        <f t="shared" si="9"/>
        <v>1</v>
      </c>
      <c r="Z105" s="26" t="s">
        <v>75</v>
      </c>
      <c r="AA105" s="26" t="s">
        <v>15</v>
      </c>
    </row>
    <row r="106" spans="1:35" x14ac:dyDescent="0.25">
      <c r="A106" s="47" t="s">
        <v>271</v>
      </c>
      <c r="B106" s="48" t="s">
        <v>272</v>
      </c>
      <c r="C106" s="49" t="s">
        <v>15</v>
      </c>
      <c r="D106" s="50">
        <v>4</v>
      </c>
      <c r="E106" s="47">
        <f>X106-W106+1</f>
        <v>1</v>
      </c>
      <c r="F106" s="51">
        <f t="shared" si="7"/>
        <v>46308</v>
      </c>
      <c r="G106" s="51">
        <f t="shared" si="8"/>
        <v>46308</v>
      </c>
      <c r="H106" s="47"/>
      <c r="I106" s="47"/>
      <c r="J106" s="50" t="s">
        <v>89</v>
      </c>
      <c r="K106" s="52">
        <v>0</v>
      </c>
      <c r="L106" s="53">
        <f>IFERROR(COUNTIFS(Checklist!$D:$D,"M3.4",Checklist!$I:$I,"Yes")/COUNTIF(Checklist!$D:$D,"M3.4"),0)</f>
        <v>0</v>
      </c>
      <c r="M106" s="47" t="str">
        <f>IF(AND(J106="Done",K106&lt;1),"Check",IF(AND(J106="In progress",K106=0),"Check",IF(AND(K106&gt;=1,J106&lt;&gt;"Done"),"Check",IF(J106="Done","Done",IF(J106="Blocked","Blocked",IF(AND($C$7&gt;X106,K106&lt;1),"Late",""))))))</f>
        <v/>
      </c>
      <c r="N106" s="54"/>
      <c r="P106" s="38" t="str">
        <f>IF(AND(W106&lt;=5,X106&gt;=1),2,"")</f>
        <v/>
      </c>
      <c r="Q106" s="38">
        <f>IF(AND(W106&lt;=10,X106&gt;=6),2,"")</f>
        <v>2</v>
      </c>
      <c r="R106" s="38" t="str">
        <f>IF(AND(W106&lt;=15,X106&gt;=11),2,"")</f>
        <v/>
      </c>
      <c r="S106" s="38" t="str">
        <f>IF(AND(W106&lt;=20,X106&gt;=16),2,"")</f>
        <v/>
      </c>
      <c r="T106" s="38" t="str">
        <f>IF(AND(W106&lt;=25,X106&gt;=21),2,"")</f>
        <v/>
      </c>
      <c r="U106" s="38" t="str">
        <f>IF(AND(W106&lt;=30,X106&gt;=26),2,"")</f>
        <v/>
      </c>
      <c r="W106" s="26">
        <f>$W$102+INT(SUM(D$103:D106)/8-D106/8+0.0001)</f>
        <v>8</v>
      </c>
      <c r="X106" s="26">
        <f>MAX(W106,$W$102+ROUNDUP(SUM(D$103:D106)/8,0)-1)</f>
        <v>8</v>
      </c>
      <c r="Y106" s="26">
        <f t="shared" si="9"/>
        <v>1</v>
      </c>
      <c r="Z106" s="26" t="s">
        <v>75</v>
      </c>
      <c r="AA106" s="26" t="s">
        <v>15</v>
      </c>
    </row>
    <row r="107" spans="1:35" x14ac:dyDescent="0.25">
      <c r="A107" s="47" t="s">
        <v>273</v>
      </c>
      <c r="B107" s="48" t="s">
        <v>274</v>
      </c>
      <c r="C107" s="49" t="s">
        <v>15</v>
      </c>
      <c r="D107" s="50">
        <v>6</v>
      </c>
      <c r="E107" s="47">
        <f>X107-W107+1</f>
        <v>1</v>
      </c>
      <c r="F107" s="51">
        <f t="shared" si="7"/>
        <v>46309</v>
      </c>
      <c r="G107" s="51">
        <f t="shared" si="8"/>
        <v>46309</v>
      </c>
      <c r="H107" s="47"/>
      <c r="I107" s="47"/>
      <c r="J107" s="50" t="s">
        <v>89</v>
      </c>
      <c r="K107" s="52">
        <v>0</v>
      </c>
      <c r="L107" s="53">
        <f>IFERROR(COUNTIFS(Checklist!$D:$D,"M3.5",Checklist!$I:$I,"Yes")/COUNTIF(Checklist!$D:$D,"M3.5"),0)</f>
        <v>0</v>
      </c>
      <c r="M107" s="47" t="str">
        <f>IF(AND(J107="Done",K107&lt;1),"Check",IF(AND(J107="In progress",K107=0),"Check",IF(AND(K107&gt;=1,J107&lt;&gt;"Done"),"Check",IF(J107="Done","Done",IF(J107="Blocked","Blocked",IF(AND($C$7&gt;X107,K107&lt;1),"Late",""))))))</f>
        <v/>
      </c>
      <c r="N107" s="54"/>
      <c r="P107" s="38" t="str">
        <f>IF(AND(W107&lt;=5,X107&gt;=1),2,"")</f>
        <v/>
      </c>
      <c r="Q107" s="38">
        <f>IF(AND(W107&lt;=10,X107&gt;=6),2,"")</f>
        <v>2</v>
      </c>
      <c r="R107" s="38" t="str">
        <f>IF(AND(W107&lt;=15,X107&gt;=11),2,"")</f>
        <v/>
      </c>
      <c r="S107" s="38" t="str">
        <f>IF(AND(W107&lt;=20,X107&gt;=16),2,"")</f>
        <v/>
      </c>
      <c r="T107" s="38" t="str">
        <f>IF(AND(W107&lt;=25,X107&gt;=21),2,"")</f>
        <v/>
      </c>
      <c r="U107" s="38" t="str">
        <f>IF(AND(W107&lt;=30,X107&gt;=26),2,"")</f>
        <v/>
      </c>
      <c r="W107" s="26">
        <f>$W$102+INT(SUM(D$103:D107)/8-D107/8+0.0001)</f>
        <v>9</v>
      </c>
      <c r="X107" s="26">
        <f>MAX(W107,$W$102+ROUNDUP(SUM(D$103:D107)/8,0)-1)</f>
        <v>9</v>
      </c>
      <c r="Y107" s="26">
        <f t="shared" si="9"/>
        <v>1</v>
      </c>
      <c r="Z107" s="26" t="s">
        <v>75</v>
      </c>
      <c r="AA107" s="26" t="s">
        <v>15</v>
      </c>
    </row>
    <row r="108" spans="1:35" ht="25.5" x14ac:dyDescent="0.25">
      <c r="A108" s="63" t="s">
        <v>275</v>
      </c>
      <c r="B108" s="64" t="s">
        <v>276</v>
      </c>
      <c r="C108" s="65" t="s">
        <v>15</v>
      </c>
      <c r="D108" s="63">
        <f>SUM(D109:D110)</f>
        <v>6</v>
      </c>
      <c r="E108" s="63">
        <f>ROUNDUP(D108/8,0)</f>
        <v>1</v>
      </c>
      <c r="F108" s="66">
        <f t="shared" si="7"/>
        <v>46310</v>
      </c>
      <c r="G108" s="66">
        <f t="shared" si="8"/>
        <v>46310</v>
      </c>
      <c r="H108" s="67" t="s">
        <v>240</v>
      </c>
      <c r="I108" s="67" t="s">
        <v>277</v>
      </c>
      <c r="J108" s="63" t="str">
        <f>IF(K108&gt;=1,"Done",IF(COUNTIF(J109:J110,"Blocked")&gt;0,"Blocked",IF(OR(K108&gt;0,COUNTIF(J109:J110,"In progress")&gt;0),"In progress","Not started")))</f>
        <v>Not started</v>
      </c>
      <c r="K108" s="68">
        <f>IFERROR(SUMPRODUCT(D109:D110,K109:K110)/D108,0)</f>
        <v>0</v>
      </c>
      <c r="L108" s="69">
        <f>IFERROR(SUMPRODUCT(D109:D110,L109:L110)/D108,0)</f>
        <v>0</v>
      </c>
      <c r="M108" s="70" t="str">
        <f>IF(J108="Done","Done",IF(J108="Blocked","Blocked",IF(AND($C$7&gt;X108,K108&lt;1),"Late","")))</f>
        <v/>
      </c>
      <c r="N108" s="67" t="str">
        <f>IF(COUNTIF(J109:J110,"Blocked")&gt;0,"Blocked subtask — see below","")</f>
        <v/>
      </c>
      <c r="P108" s="38" t="str">
        <f>IF(AND(W108&lt;=5,X108&gt;=1),1,"")</f>
        <v/>
      </c>
      <c r="Q108" s="38">
        <f>IF(AND(W108&lt;=10,X108&gt;=6),1,"")</f>
        <v>1</v>
      </c>
      <c r="R108" s="38" t="str">
        <f>IF(AND(W108&lt;=15,X108&gt;=11),1,"")</f>
        <v/>
      </c>
      <c r="S108" s="38" t="str">
        <f>IF(AND(W108&lt;=20,X108&gt;=16),1,"")</f>
        <v/>
      </c>
      <c r="T108" s="38" t="str">
        <f>IF(AND(W108&lt;=25,X108&gt;=21),1,"")</f>
        <v/>
      </c>
      <c r="U108" s="38" t="str">
        <f>IF(AND(W108&lt;=30,X108&gt;=26),1,"")</f>
        <v/>
      </c>
      <c r="W108" s="26">
        <f>MAX(IFERROR(INDEX($X$14:$X$400,MATCH(AC108,$A$14:$A$400,0)),0),IFERROR(INDEX($X$14:$X$400,MATCH(AD108,$A$14:$A$400,0)),0),IFERROR(INDEX($X$14:$X$400,MATCH(AE108,$A$14:$A$400,0)),0),IFERROR(INDEX($X$14:$X$400,MATCH(AF108,$A$14:$A$400,0)),0),IFERROR(INDEX($X$14:$X$400,MATCH(AG108,$A$14:$A$400,0)),0),IFERROR(INDEX($X$14:$X$400,MATCH(AH108,$A$14:$A$400,0)),0),IFERROR(INDEX($X$14:$X$400,MATCH(AI108,$A$14:$A$400,0)),0),IFERROR(INDEX($X$14:$X$400,MATCH(AB108,$A$14:$A$400,0)),0))+1</f>
        <v>10</v>
      </c>
      <c r="X108" s="26">
        <f>W108+Y108-1</f>
        <v>10</v>
      </c>
      <c r="Y108" s="26">
        <f t="shared" si="9"/>
        <v>1</v>
      </c>
      <c r="Z108" s="26" t="s">
        <v>55</v>
      </c>
      <c r="AA108" s="26" t="s">
        <v>15</v>
      </c>
      <c r="AB108" s="26" t="s">
        <v>261</v>
      </c>
      <c r="AC108" s="26" t="s">
        <v>240</v>
      </c>
    </row>
    <row r="109" spans="1:35" x14ac:dyDescent="0.25">
      <c r="A109" s="47" t="s">
        <v>278</v>
      </c>
      <c r="B109" s="48" t="s">
        <v>279</v>
      </c>
      <c r="C109" s="49" t="s">
        <v>15</v>
      </c>
      <c r="D109" s="50">
        <v>2</v>
      </c>
      <c r="E109" s="47">
        <f>X109-W109+1</f>
        <v>1</v>
      </c>
      <c r="F109" s="51">
        <f t="shared" si="7"/>
        <v>46310</v>
      </c>
      <c r="G109" s="51">
        <f t="shared" si="8"/>
        <v>46310</v>
      </c>
      <c r="H109" s="47"/>
      <c r="I109" s="47"/>
      <c r="J109" s="50" t="s">
        <v>89</v>
      </c>
      <c r="K109" s="52">
        <v>0</v>
      </c>
      <c r="L109" s="53">
        <f>IFERROR(COUNTIFS(Checklist!$D:$D,"M7.1",Checklist!$I:$I,"Yes")/COUNTIF(Checklist!$D:$D,"M7.1"),0)</f>
        <v>0</v>
      </c>
      <c r="M109" s="47" t="str">
        <f>IF(AND(J109="Done",K109&lt;1),"Check",IF(AND(J109="In progress",K109=0),"Check",IF(AND(K109&gt;=1,J109&lt;&gt;"Done"),"Check",IF(J109="Done","Done",IF(J109="Blocked","Blocked",IF(AND($C$7&gt;X109,K109&lt;1),"Late",""))))))</f>
        <v/>
      </c>
      <c r="N109" s="54"/>
      <c r="P109" s="38" t="str">
        <f>IF(AND(W109&lt;=5,X109&gt;=1),2,"")</f>
        <v/>
      </c>
      <c r="Q109" s="38">
        <f>IF(AND(W109&lt;=10,X109&gt;=6),2,"")</f>
        <v>2</v>
      </c>
      <c r="R109" s="38" t="str">
        <f>IF(AND(W109&lt;=15,X109&gt;=11),2,"")</f>
        <v/>
      </c>
      <c r="S109" s="38" t="str">
        <f>IF(AND(W109&lt;=20,X109&gt;=16),2,"")</f>
        <v/>
      </c>
      <c r="T109" s="38" t="str">
        <f>IF(AND(W109&lt;=25,X109&gt;=21),2,"")</f>
        <v/>
      </c>
      <c r="U109" s="38" t="str">
        <f>IF(AND(W109&lt;=30,X109&gt;=26),2,"")</f>
        <v/>
      </c>
      <c r="W109" s="26">
        <f>$W$108+INT(SUM(D$109:D109)/8-D109/8+0.0001)</f>
        <v>10</v>
      </c>
      <c r="X109" s="26">
        <f>MAX(W109,$W$108+ROUNDUP(SUM(D$109:D109)/8,0)-1)</f>
        <v>10</v>
      </c>
      <c r="Y109" s="26">
        <f t="shared" si="9"/>
        <v>1</v>
      </c>
      <c r="Z109" s="26" t="s">
        <v>75</v>
      </c>
      <c r="AA109" s="26" t="s">
        <v>15</v>
      </c>
    </row>
    <row r="110" spans="1:35" x14ac:dyDescent="0.25">
      <c r="A110" s="47" t="s">
        <v>280</v>
      </c>
      <c r="B110" s="48" t="s">
        <v>281</v>
      </c>
      <c r="C110" s="49" t="s">
        <v>15</v>
      </c>
      <c r="D110" s="50">
        <v>4</v>
      </c>
      <c r="E110" s="47">
        <f>X110-W110+1</f>
        <v>1</v>
      </c>
      <c r="F110" s="51">
        <f t="shared" si="7"/>
        <v>46310</v>
      </c>
      <c r="G110" s="51">
        <f t="shared" si="8"/>
        <v>46310</v>
      </c>
      <c r="H110" s="47"/>
      <c r="I110" s="47"/>
      <c r="J110" s="50" t="s">
        <v>89</v>
      </c>
      <c r="K110" s="52">
        <v>0</v>
      </c>
      <c r="L110" s="53">
        <f>IFERROR(COUNTIFS(Checklist!$D:$D,"M7.2",Checklist!$I:$I,"Yes")/COUNTIF(Checklist!$D:$D,"M7.2"),0)</f>
        <v>0</v>
      </c>
      <c r="M110" s="47" t="str">
        <f>IF(AND(J110="Done",K110&lt;1),"Check",IF(AND(J110="In progress",K110=0),"Check",IF(AND(K110&gt;=1,J110&lt;&gt;"Done"),"Check",IF(J110="Done","Done",IF(J110="Blocked","Blocked",IF(AND($C$7&gt;X110,K110&lt;1),"Late",""))))))</f>
        <v/>
      </c>
      <c r="N110" s="54"/>
      <c r="P110" s="38" t="str">
        <f>IF(AND(W110&lt;=5,X110&gt;=1),2,"")</f>
        <v/>
      </c>
      <c r="Q110" s="38">
        <f>IF(AND(W110&lt;=10,X110&gt;=6),2,"")</f>
        <v>2</v>
      </c>
      <c r="R110" s="38" t="str">
        <f>IF(AND(W110&lt;=15,X110&gt;=11),2,"")</f>
        <v/>
      </c>
      <c r="S110" s="38" t="str">
        <f>IF(AND(W110&lt;=20,X110&gt;=16),2,"")</f>
        <v/>
      </c>
      <c r="T110" s="38" t="str">
        <f>IF(AND(W110&lt;=25,X110&gt;=21),2,"")</f>
        <v/>
      </c>
      <c r="U110" s="38" t="str">
        <f>IF(AND(W110&lt;=30,X110&gt;=26),2,"")</f>
        <v/>
      </c>
      <c r="W110" s="26">
        <f>$W$108+INT(SUM(D$109:D110)/8-D110/8+0.0001)</f>
        <v>10</v>
      </c>
      <c r="X110" s="26">
        <f>MAX(W110,$W$108+ROUNDUP(SUM(D$109:D110)/8,0)-1)</f>
        <v>10</v>
      </c>
      <c r="Y110" s="26">
        <f t="shared" si="9"/>
        <v>1</v>
      </c>
      <c r="Z110" s="26" t="s">
        <v>75</v>
      </c>
      <c r="AA110" s="26" t="s">
        <v>15</v>
      </c>
    </row>
    <row r="111" spans="1:35" ht="25.5" x14ac:dyDescent="0.25">
      <c r="A111" s="63" t="s">
        <v>145</v>
      </c>
      <c r="B111" s="64" t="s">
        <v>282</v>
      </c>
      <c r="C111" s="65" t="s">
        <v>15</v>
      </c>
      <c r="D111" s="63">
        <f>SUM(D112:D114)</f>
        <v>14</v>
      </c>
      <c r="E111" s="63">
        <f>ROUNDUP(D111/8,0)</f>
        <v>2</v>
      </c>
      <c r="F111" s="66">
        <f t="shared" si="7"/>
        <v>46313</v>
      </c>
      <c r="G111" s="66">
        <f t="shared" si="8"/>
        <v>46314</v>
      </c>
      <c r="H111" s="67" t="s">
        <v>283</v>
      </c>
      <c r="I111" s="67" t="s">
        <v>284</v>
      </c>
      <c r="J111" s="63" t="str">
        <f>IF(K111&gt;=1,"Done",IF(COUNTIF(J112:J114,"Blocked")&gt;0,"Blocked",IF(OR(K111&gt;0,COUNTIF(J112:J114,"In progress")&gt;0),"In progress","Not started")))</f>
        <v>Not started</v>
      </c>
      <c r="K111" s="68">
        <f>IFERROR(SUMPRODUCT(D112:D114,K112:K114)/D111,0)</f>
        <v>0</v>
      </c>
      <c r="L111" s="69">
        <f>IFERROR(SUMPRODUCT(D112:D114,L112:L114)/D111,0)</f>
        <v>0</v>
      </c>
      <c r="M111" s="70" t="str">
        <f>IF(J111="Done","Done",IF(J111="Blocked","Blocked",IF(AND($C$7&gt;X111,K111&lt;1),"Late","")))</f>
        <v/>
      </c>
      <c r="N111" s="67" t="str">
        <f>IF(COUNTIF(J112:J114,"Blocked")&gt;0,"Blocked subtask — see below","")</f>
        <v/>
      </c>
      <c r="P111" s="38" t="str">
        <f>IF(AND(W111&lt;=5,X111&gt;=1),1,"")</f>
        <v/>
      </c>
      <c r="Q111" s="38" t="str">
        <f>IF(AND(W111&lt;=10,X111&gt;=6),1,"")</f>
        <v/>
      </c>
      <c r="R111" s="38">
        <f>IF(AND(W111&lt;=15,X111&gt;=11),1,"")</f>
        <v>1</v>
      </c>
      <c r="S111" s="38" t="str">
        <f>IF(AND(W111&lt;=20,X111&gt;=16),1,"")</f>
        <v/>
      </c>
      <c r="T111" s="38" t="str">
        <f>IF(AND(W111&lt;=25,X111&gt;=21),1,"")</f>
        <v/>
      </c>
      <c r="U111" s="38" t="str">
        <f>IF(AND(W111&lt;=30,X111&gt;=26),1,"")</f>
        <v/>
      </c>
      <c r="W111" s="26">
        <f>MAX(IFERROR(INDEX($X$14:$X$400,MATCH(AC111,$A$14:$A$400,0)),0),IFERROR(INDEX($X$14:$X$400,MATCH(AD111,$A$14:$A$400,0)),0),IFERROR(INDEX($X$14:$X$400,MATCH(AE111,$A$14:$A$400,0)),0),IFERROR(INDEX($X$14:$X$400,MATCH(AF111,$A$14:$A$400,0)),0),IFERROR(INDEX($X$14:$X$400,MATCH(AG111,$A$14:$A$400,0)),0),IFERROR(INDEX($X$14:$X$400,MATCH(AH111,$A$14:$A$400,0)),0),IFERROR(INDEX($X$14:$X$400,MATCH(AI111,$A$14:$A$400,0)),0),IFERROR(INDEX($X$14:$X$400,MATCH(AB111,$A$14:$A$400,0)),0))+1</f>
        <v>11</v>
      </c>
      <c r="X111" s="26">
        <f>W111+Y111-1</f>
        <v>12</v>
      </c>
      <c r="Y111" s="26">
        <f t="shared" si="9"/>
        <v>2</v>
      </c>
      <c r="Z111" s="26" t="s">
        <v>55</v>
      </c>
      <c r="AA111" s="26" t="s">
        <v>15</v>
      </c>
      <c r="AB111" s="26" t="s">
        <v>275</v>
      </c>
      <c r="AC111" s="26" t="s">
        <v>70</v>
      </c>
      <c r="AD111" s="26" t="s">
        <v>249</v>
      </c>
      <c r="AE111" s="26" t="s">
        <v>111</v>
      </c>
      <c r="AF111" s="26" t="s">
        <v>191</v>
      </c>
      <c r="AG111" s="26" t="s">
        <v>106</v>
      </c>
      <c r="AH111" s="26" t="s">
        <v>96</v>
      </c>
      <c r="AI111" s="26" t="s">
        <v>261</v>
      </c>
    </row>
    <row r="112" spans="1:35" x14ac:dyDescent="0.25">
      <c r="A112" s="47" t="s">
        <v>285</v>
      </c>
      <c r="B112" s="48" t="s">
        <v>286</v>
      </c>
      <c r="C112" s="49" t="s">
        <v>15</v>
      </c>
      <c r="D112" s="50">
        <v>6</v>
      </c>
      <c r="E112" s="47">
        <f>X112-W112+1</f>
        <v>1</v>
      </c>
      <c r="F112" s="51">
        <f t="shared" si="7"/>
        <v>46313</v>
      </c>
      <c r="G112" s="51">
        <f t="shared" si="8"/>
        <v>46313</v>
      </c>
      <c r="H112" s="47"/>
      <c r="I112" s="47"/>
      <c r="J112" s="50" t="s">
        <v>89</v>
      </c>
      <c r="K112" s="52">
        <v>0</v>
      </c>
      <c r="L112" s="53">
        <f>IFERROR(COUNTIFS(Checklist!$D:$D,"M4.1",Checklist!$I:$I,"Yes")/COUNTIF(Checklist!$D:$D,"M4.1"),0)</f>
        <v>0</v>
      </c>
      <c r="M112" s="47" t="str">
        <f>IF(AND(J112="Done",K112&lt;1),"Check",IF(AND(J112="In progress",K112=0),"Check",IF(AND(K112&gt;=1,J112&lt;&gt;"Done"),"Check",IF(J112="Done","Done",IF(J112="Blocked","Blocked",IF(AND($C$7&gt;X112,K112&lt;1),"Late",""))))))</f>
        <v/>
      </c>
      <c r="N112" s="54"/>
      <c r="P112" s="38" t="str">
        <f>IF(AND(W112&lt;=5,X112&gt;=1),2,"")</f>
        <v/>
      </c>
      <c r="Q112" s="38" t="str">
        <f>IF(AND(W112&lt;=10,X112&gt;=6),2,"")</f>
        <v/>
      </c>
      <c r="R112" s="38">
        <f>IF(AND(W112&lt;=15,X112&gt;=11),2,"")</f>
        <v>2</v>
      </c>
      <c r="S112" s="38" t="str">
        <f>IF(AND(W112&lt;=20,X112&gt;=16),2,"")</f>
        <v/>
      </c>
      <c r="T112" s="38" t="str">
        <f>IF(AND(W112&lt;=25,X112&gt;=21),2,"")</f>
        <v/>
      </c>
      <c r="U112" s="38" t="str">
        <f>IF(AND(W112&lt;=30,X112&gt;=26),2,"")</f>
        <v/>
      </c>
      <c r="W112" s="26">
        <f>$W$111+INT(SUM(D$112:D112)/8-D112/8+0.0001)</f>
        <v>11</v>
      </c>
      <c r="X112" s="26">
        <f>MAX(W112,$W$111+ROUNDUP(SUM(D$112:D112)/8,0)-1)</f>
        <v>11</v>
      </c>
      <c r="Y112" s="26">
        <f t="shared" si="9"/>
        <v>1</v>
      </c>
      <c r="Z112" s="26" t="s">
        <v>75</v>
      </c>
      <c r="AA112" s="26" t="s">
        <v>15</v>
      </c>
    </row>
    <row r="113" spans="1:30" x14ac:dyDescent="0.25">
      <c r="A113" s="47" t="s">
        <v>287</v>
      </c>
      <c r="B113" s="48" t="s">
        <v>288</v>
      </c>
      <c r="C113" s="49" t="s">
        <v>15</v>
      </c>
      <c r="D113" s="50">
        <v>4</v>
      </c>
      <c r="E113" s="47">
        <f>X113-W113+1</f>
        <v>2</v>
      </c>
      <c r="F113" s="51">
        <f t="shared" si="7"/>
        <v>46313</v>
      </c>
      <c r="G113" s="51">
        <f t="shared" si="8"/>
        <v>46314</v>
      </c>
      <c r="H113" s="47"/>
      <c r="I113" s="47"/>
      <c r="J113" s="50" t="s">
        <v>89</v>
      </c>
      <c r="K113" s="52">
        <v>0</v>
      </c>
      <c r="L113" s="53">
        <f>IFERROR(COUNTIFS(Checklist!$D:$D,"M4.2",Checklist!$I:$I,"Yes")/COUNTIF(Checklist!$D:$D,"M4.2"),0)</f>
        <v>0</v>
      </c>
      <c r="M113" s="47" t="str">
        <f>IF(AND(J113="Done",K113&lt;1),"Check",IF(AND(J113="In progress",K113=0),"Check",IF(AND(K113&gt;=1,J113&lt;&gt;"Done"),"Check",IF(J113="Done","Done",IF(J113="Blocked","Blocked",IF(AND($C$7&gt;X113,K113&lt;1),"Late",""))))))</f>
        <v/>
      </c>
      <c r="N113" s="54"/>
      <c r="P113" s="38" t="str">
        <f>IF(AND(W113&lt;=5,X113&gt;=1),2,"")</f>
        <v/>
      </c>
      <c r="Q113" s="38" t="str">
        <f>IF(AND(W113&lt;=10,X113&gt;=6),2,"")</f>
        <v/>
      </c>
      <c r="R113" s="38">
        <f>IF(AND(W113&lt;=15,X113&gt;=11),2,"")</f>
        <v>2</v>
      </c>
      <c r="S113" s="38" t="str">
        <f>IF(AND(W113&lt;=20,X113&gt;=16),2,"")</f>
        <v/>
      </c>
      <c r="T113" s="38" t="str">
        <f>IF(AND(W113&lt;=25,X113&gt;=21),2,"")</f>
        <v/>
      </c>
      <c r="U113" s="38" t="str">
        <f>IF(AND(W113&lt;=30,X113&gt;=26),2,"")</f>
        <v/>
      </c>
      <c r="W113" s="26">
        <f>$W$111+INT(SUM(D$112:D113)/8-D113/8+0.0001)</f>
        <v>11</v>
      </c>
      <c r="X113" s="26">
        <f>MAX(W113,$W$111+ROUNDUP(SUM(D$112:D113)/8,0)-1)</f>
        <v>12</v>
      </c>
      <c r="Y113" s="26">
        <f t="shared" si="9"/>
        <v>2</v>
      </c>
      <c r="Z113" s="26" t="s">
        <v>75</v>
      </c>
      <c r="AA113" s="26" t="s">
        <v>15</v>
      </c>
    </row>
    <row r="114" spans="1:30" x14ac:dyDescent="0.25">
      <c r="A114" s="47" t="s">
        <v>289</v>
      </c>
      <c r="B114" s="48" t="s">
        <v>290</v>
      </c>
      <c r="C114" s="49" t="s">
        <v>15</v>
      </c>
      <c r="D114" s="50">
        <v>4</v>
      </c>
      <c r="E114" s="47">
        <f>X114-W114+1</f>
        <v>1</v>
      </c>
      <c r="F114" s="51">
        <f t="shared" si="7"/>
        <v>46314</v>
      </c>
      <c r="G114" s="51">
        <f t="shared" si="8"/>
        <v>46314</v>
      </c>
      <c r="H114" s="47"/>
      <c r="I114" s="47"/>
      <c r="J114" s="50" t="s">
        <v>89</v>
      </c>
      <c r="K114" s="52">
        <v>0</v>
      </c>
      <c r="L114" s="53">
        <f>IFERROR(COUNTIFS(Checklist!$D:$D,"M4.3",Checklist!$I:$I,"Yes")/COUNTIF(Checklist!$D:$D,"M4.3"),0)</f>
        <v>0</v>
      </c>
      <c r="M114" s="47" t="str">
        <f>IF(AND(J114="Done",K114&lt;1),"Check",IF(AND(J114="In progress",K114=0),"Check",IF(AND(K114&gt;=1,J114&lt;&gt;"Done"),"Check",IF(J114="Done","Done",IF(J114="Blocked","Blocked",IF(AND($C$7&gt;X114,K114&lt;1),"Late",""))))))</f>
        <v/>
      </c>
      <c r="N114" s="54"/>
      <c r="P114" s="38" t="str">
        <f>IF(AND(W114&lt;=5,X114&gt;=1),2,"")</f>
        <v/>
      </c>
      <c r="Q114" s="38" t="str">
        <f>IF(AND(W114&lt;=10,X114&gt;=6),2,"")</f>
        <v/>
      </c>
      <c r="R114" s="38">
        <f>IF(AND(W114&lt;=15,X114&gt;=11),2,"")</f>
        <v>2</v>
      </c>
      <c r="S114" s="38" t="str">
        <f>IF(AND(W114&lt;=20,X114&gt;=16),2,"")</f>
        <v/>
      </c>
      <c r="T114" s="38" t="str">
        <f>IF(AND(W114&lt;=25,X114&gt;=21),2,"")</f>
        <v/>
      </c>
      <c r="U114" s="38" t="str">
        <f>IF(AND(W114&lt;=30,X114&gt;=26),2,"")</f>
        <v/>
      </c>
      <c r="W114" s="26">
        <f>$W$111+INT(SUM(D$112:D114)/8-D114/8+0.0001)</f>
        <v>12</v>
      </c>
      <c r="X114" s="26">
        <f>MAX(W114,$W$111+ROUNDUP(SUM(D$112:D114)/8,0)-1)</f>
        <v>12</v>
      </c>
      <c r="Y114" s="26">
        <f t="shared" si="9"/>
        <v>1</v>
      </c>
      <c r="Z114" s="26" t="s">
        <v>75</v>
      </c>
      <c r="AA114" s="26" t="s">
        <v>15</v>
      </c>
    </row>
    <row r="115" spans="1:30" ht="25.5" x14ac:dyDescent="0.25">
      <c r="A115" s="63" t="s">
        <v>291</v>
      </c>
      <c r="B115" s="64" t="s">
        <v>292</v>
      </c>
      <c r="C115" s="65" t="s">
        <v>15</v>
      </c>
      <c r="D115" s="63">
        <f>SUM(D116:D119)</f>
        <v>10</v>
      </c>
      <c r="E115" s="63">
        <f>ROUNDUP(D115/8,0)</f>
        <v>2</v>
      </c>
      <c r="F115" s="66">
        <f t="shared" si="7"/>
        <v>46315</v>
      </c>
      <c r="G115" s="66">
        <f t="shared" si="8"/>
        <v>46316</v>
      </c>
      <c r="H115" s="67" t="s">
        <v>145</v>
      </c>
      <c r="I115" s="67" t="s">
        <v>293</v>
      </c>
      <c r="J115" s="63" t="str">
        <f>IF(K115&gt;=1,"Done",IF(COUNTIF(J116:J119,"Blocked")&gt;0,"Blocked",IF(OR(K115&gt;0,COUNTIF(J116:J119,"In progress")&gt;0),"In progress","Not started")))</f>
        <v>Not started</v>
      </c>
      <c r="K115" s="68">
        <f>IFERROR(SUMPRODUCT(D116:D119,K116:K119)/D115,0)</f>
        <v>0</v>
      </c>
      <c r="L115" s="69">
        <f>IFERROR(SUMPRODUCT(D116:D119,L116:L119)/D115,0)</f>
        <v>0</v>
      </c>
      <c r="M115" s="70" t="str">
        <f>IF(J115="Done","Done",IF(J115="Blocked","Blocked",IF(AND($C$7&gt;X115,K115&lt;1),"Late","")))</f>
        <v/>
      </c>
      <c r="N115" s="67" t="str">
        <f>IF(COUNTIF(J116:J119,"Blocked")&gt;0,"Blocked subtask — see below","")</f>
        <v/>
      </c>
      <c r="P115" s="38" t="str">
        <f>IF(AND(W115&lt;=5,X115&gt;=1),1,"")</f>
        <v/>
      </c>
      <c r="Q115" s="38" t="str">
        <f>IF(AND(W115&lt;=10,X115&gt;=6),1,"")</f>
        <v/>
      </c>
      <c r="R115" s="38">
        <f>IF(AND(W115&lt;=15,X115&gt;=11),1,"")</f>
        <v>1</v>
      </c>
      <c r="S115" s="38" t="str">
        <f>IF(AND(W115&lt;=20,X115&gt;=16),1,"")</f>
        <v/>
      </c>
      <c r="T115" s="38" t="str">
        <f>IF(AND(W115&lt;=25,X115&gt;=21),1,"")</f>
        <v/>
      </c>
      <c r="U115" s="38" t="str">
        <f>IF(AND(W115&lt;=30,X115&gt;=26),1,"")</f>
        <v/>
      </c>
      <c r="W115" s="26">
        <f>MAX(IFERROR(INDEX($X$14:$X$400,MATCH(AC115,$A$14:$A$400,0)),0),IFERROR(INDEX($X$14:$X$400,MATCH(AD115,$A$14:$A$400,0)),0),IFERROR(INDEX($X$14:$X$400,MATCH(AE115,$A$14:$A$400,0)),0),IFERROR(INDEX($X$14:$X$400,MATCH(AF115,$A$14:$A$400,0)),0),IFERROR(INDEX($X$14:$X$400,MATCH(AG115,$A$14:$A$400,0)),0),IFERROR(INDEX($X$14:$X$400,MATCH(AH115,$A$14:$A$400,0)),0),IFERROR(INDEX($X$14:$X$400,MATCH(AI115,$A$14:$A$400,0)),0),IFERROR(INDEX($X$14:$X$400,MATCH(AB115,$A$14:$A$400,0)),0))+1</f>
        <v>13</v>
      </c>
      <c r="X115" s="26">
        <f>W115+Y115-1</f>
        <v>14</v>
      </c>
      <c r="Y115" s="26">
        <f t="shared" si="9"/>
        <v>2</v>
      </c>
      <c r="Z115" s="26" t="s">
        <v>55</v>
      </c>
      <c r="AA115" s="26" t="s">
        <v>15</v>
      </c>
      <c r="AB115" s="26" t="s">
        <v>145</v>
      </c>
      <c r="AC115" s="26" t="s">
        <v>145</v>
      </c>
    </row>
    <row r="116" spans="1:30" x14ac:dyDescent="0.25">
      <c r="A116" s="47" t="s">
        <v>294</v>
      </c>
      <c r="B116" s="48" t="s">
        <v>295</v>
      </c>
      <c r="C116" s="49" t="s">
        <v>15</v>
      </c>
      <c r="D116" s="50">
        <v>2</v>
      </c>
      <c r="E116" s="47">
        <f>X116-W116+1</f>
        <v>1</v>
      </c>
      <c r="F116" s="51">
        <f t="shared" si="7"/>
        <v>46315</v>
      </c>
      <c r="G116" s="51">
        <f t="shared" si="8"/>
        <v>46315</v>
      </c>
      <c r="H116" s="47"/>
      <c r="I116" s="47"/>
      <c r="J116" s="50" t="s">
        <v>89</v>
      </c>
      <c r="K116" s="52">
        <v>0</v>
      </c>
      <c r="L116" s="53">
        <f>IFERROR(COUNTIFS(Checklist!$D:$D,"M5.1",Checklist!$I:$I,"Yes")/COUNTIF(Checklist!$D:$D,"M5.1"),0)</f>
        <v>0</v>
      </c>
      <c r="M116" s="47" t="str">
        <f>IF(AND(J116="Done",K116&lt;1),"Check",IF(AND(J116="In progress",K116=0),"Check",IF(AND(K116&gt;=1,J116&lt;&gt;"Done"),"Check",IF(J116="Done","Done",IF(J116="Blocked","Blocked",IF(AND($C$7&gt;X116,K116&lt;1),"Late",""))))))</f>
        <v/>
      </c>
      <c r="N116" s="54"/>
      <c r="P116" s="38" t="str">
        <f>IF(AND(W116&lt;=5,X116&gt;=1),2,"")</f>
        <v/>
      </c>
      <c r="Q116" s="38" t="str">
        <f>IF(AND(W116&lt;=10,X116&gt;=6),2,"")</f>
        <v/>
      </c>
      <c r="R116" s="38">
        <f>IF(AND(W116&lt;=15,X116&gt;=11),2,"")</f>
        <v>2</v>
      </c>
      <c r="S116" s="38" t="str">
        <f>IF(AND(W116&lt;=20,X116&gt;=16),2,"")</f>
        <v/>
      </c>
      <c r="T116" s="38" t="str">
        <f>IF(AND(W116&lt;=25,X116&gt;=21),2,"")</f>
        <v/>
      </c>
      <c r="U116" s="38" t="str">
        <f>IF(AND(W116&lt;=30,X116&gt;=26),2,"")</f>
        <v/>
      </c>
      <c r="W116" s="26">
        <f>$W$115+INT(SUM(D$116:D116)/8-D116/8+0.0001)</f>
        <v>13</v>
      </c>
      <c r="X116" s="26">
        <f>MAX(W116,$W$115+ROUNDUP(SUM(D$116:D116)/8,0)-1)</f>
        <v>13</v>
      </c>
      <c r="Y116" s="26">
        <f t="shared" si="9"/>
        <v>1</v>
      </c>
      <c r="Z116" s="26" t="s">
        <v>75</v>
      </c>
      <c r="AA116" s="26" t="s">
        <v>15</v>
      </c>
    </row>
    <row r="117" spans="1:30" x14ac:dyDescent="0.25">
      <c r="A117" s="47" t="s">
        <v>296</v>
      </c>
      <c r="B117" s="48" t="s">
        <v>297</v>
      </c>
      <c r="C117" s="49" t="s">
        <v>15</v>
      </c>
      <c r="D117" s="50">
        <v>2</v>
      </c>
      <c r="E117" s="47">
        <f>X117-W117+1</f>
        <v>1</v>
      </c>
      <c r="F117" s="51">
        <f t="shared" si="7"/>
        <v>46315</v>
      </c>
      <c r="G117" s="51">
        <f t="shared" si="8"/>
        <v>46315</v>
      </c>
      <c r="H117" s="47"/>
      <c r="I117" s="47"/>
      <c r="J117" s="50" t="s">
        <v>89</v>
      </c>
      <c r="K117" s="52">
        <v>0</v>
      </c>
      <c r="L117" s="53">
        <f>IFERROR(COUNTIFS(Checklist!$D:$D,"M5.2",Checklist!$I:$I,"Yes")/COUNTIF(Checklist!$D:$D,"M5.2"),0)</f>
        <v>0</v>
      </c>
      <c r="M117" s="47" t="str">
        <f>IF(AND(J117="Done",K117&lt;1),"Check",IF(AND(J117="In progress",K117=0),"Check",IF(AND(K117&gt;=1,J117&lt;&gt;"Done"),"Check",IF(J117="Done","Done",IF(J117="Blocked","Blocked",IF(AND($C$7&gt;X117,K117&lt;1),"Late",""))))))</f>
        <v/>
      </c>
      <c r="N117" s="54"/>
      <c r="P117" s="38" t="str">
        <f>IF(AND(W117&lt;=5,X117&gt;=1),2,"")</f>
        <v/>
      </c>
      <c r="Q117" s="38" t="str">
        <f>IF(AND(W117&lt;=10,X117&gt;=6),2,"")</f>
        <v/>
      </c>
      <c r="R117" s="38">
        <f>IF(AND(W117&lt;=15,X117&gt;=11),2,"")</f>
        <v>2</v>
      </c>
      <c r="S117" s="38" t="str">
        <f>IF(AND(W117&lt;=20,X117&gt;=16),2,"")</f>
        <v/>
      </c>
      <c r="T117" s="38" t="str">
        <f>IF(AND(W117&lt;=25,X117&gt;=21),2,"")</f>
        <v/>
      </c>
      <c r="U117" s="38" t="str">
        <f>IF(AND(W117&lt;=30,X117&gt;=26),2,"")</f>
        <v/>
      </c>
      <c r="W117" s="26">
        <f>$W$115+INT(SUM(D$116:D117)/8-D117/8+0.0001)</f>
        <v>13</v>
      </c>
      <c r="X117" s="26">
        <f>MAX(W117,$W$115+ROUNDUP(SUM(D$116:D117)/8,0)-1)</f>
        <v>13</v>
      </c>
      <c r="Y117" s="26">
        <f t="shared" si="9"/>
        <v>1</v>
      </c>
      <c r="Z117" s="26" t="s">
        <v>75</v>
      </c>
      <c r="AA117" s="26" t="s">
        <v>15</v>
      </c>
    </row>
    <row r="118" spans="1:30" x14ac:dyDescent="0.25">
      <c r="A118" s="47" t="s">
        <v>298</v>
      </c>
      <c r="B118" s="48" t="s">
        <v>299</v>
      </c>
      <c r="C118" s="49" t="s">
        <v>15</v>
      </c>
      <c r="D118" s="50">
        <v>4</v>
      </c>
      <c r="E118" s="47">
        <f>X118-W118+1</f>
        <v>1</v>
      </c>
      <c r="F118" s="51">
        <f t="shared" si="7"/>
        <v>46315</v>
      </c>
      <c r="G118" s="51">
        <f t="shared" si="8"/>
        <v>46315</v>
      </c>
      <c r="H118" s="47"/>
      <c r="I118" s="47"/>
      <c r="J118" s="50" t="s">
        <v>89</v>
      </c>
      <c r="K118" s="52">
        <v>0</v>
      </c>
      <c r="L118" s="53">
        <f>IFERROR(COUNTIFS(Checklist!$D:$D,"M5.3",Checklist!$I:$I,"Yes")/COUNTIF(Checklist!$D:$D,"M5.3"),0)</f>
        <v>0</v>
      </c>
      <c r="M118" s="47" t="str">
        <f>IF(AND(J118="Done",K118&lt;1),"Check",IF(AND(J118="In progress",K118=0),"Check",IF(AND(K118&gt;=1,J118&lt;&gt;"Done"),"Check",IF(J118="Done","Done",IF(J118="Blocked","Blocked",IF(AND($C$7&gt;X118,K118&lt;1),"Late",""))))))</f>
        <v/>
      </c>
      <c r="N118" s="54"/>
      <c r="P118" s="38" t="str">
        <f>IF(AND(W118&lt;=5,X118&gt;=1),2,"")</f>
        <v/>
      </c>
      <c r="Q118" s="38" t="str">
        <f>IF(AND(W118&lt;=10,X118&gt;=6),2,"")</f>
        <v/>
      </c>
      <c r="R118" s="38">
        <f>IF(AND(W118&lt;=15,X118&gt;=11),2,"")</f>
        <v>2</v>
      </c>
      <c r="S118" s="38" t="str">
        <f>IF(AND(W118&lt;=20,X118&gt;=16),2,"")</f>
        <v/>
      </c>
      <c r="T118" s="38" t="str">
        <f>IF(AND(W118&lt;=25,X118&gt;=21),2,"")</f>
        <v/>
      </c>
      <c r="U118" s="38" t="str">
        <f>IF(AND(W118&lt;=30,X118&gt;=26),2,"")</f>
        <v/>
      </c>
      <c r="W118" s="26">
        <f>$W$115+INT(SUM(D$116:D118)/8-D118/8+0.0001)</f>
        <v>13</v>
      </c>
      <c r="X118" s="26">
        <f>MAX(W118,$W$115+ROUNDUP(SUM(D$116:D118)/8,0)-1)</f>
        <v>13</v>
      </c>
      <c r="Y118" s="26">
        <f t="shared" si="9"/>
        <v>1</v>
      </c>
      <c r="Z118" s="26" t="s">
        <v>75</v>
      </c>
      <c r="AA118" s="26" t="s">
        <v>15</v>
      </c>
    </row>
    <row r="119" spans="1:30" x14ac:dyDescent="0.25">
      <c r="A119" s="47" t="s">
        <v>300</v>
      </c>
      <c r="B119" s="48" t="s">
        <v>301</v>
      </c>
      <c r="C119" s="49" t="s">
        <v>15</v>
      </c>
      <c r="D119" s="50">
        <v>2</v>
      </c>
      <c r="E119" s="47">
        <f>X119-W119+1</f>
        <v>1</v>
      </c>
      <c r="F119" s="51">
        <f t="shared" si="7"/>
        <v>46316</v>
      </c>
      <c r="G119" s="51">
        <f t="shared" si="8"/>
        <v>46316</v>
      </c>
      <c r="H119" s="47"/>
      <c r="I119" s="47"/>
      <c r="J119" s="50" t="s">
        <v>89</v>
      </c>
      <c r="K119" s="52">
        <v>0</v>
      </c>
      <c r="L119" s="53">
        <f>IFERROR(COUNTIFS(Checklist!$D:$D,"M5.4",Checklist!$I:$I,"Yes")/COUNTIF(Checklist!$D:$D,"M5.4"),0)</f>
        <v>0</v>
      </c>
      <c r="M119" s="47" t="str">
        <f>IF(AND(J119="Done",K119&lt;1),"Check",IF(AND(J119="In progress",K119=0),"Check",IF(AND(K119&gt;=1,J119&lt;&gt;"Done"),"Check",IF(J119="Done","Done",IF(J119="Blocked","Blocked",IF(AND($C$7&gt;X119,K119&lt;1),"Late",""))))))</f>
        <v/>
      </c>
      <c r="N119" s="54"/>
      <c r="P119" s="38" t="str">
        <f>IF(AND(W119&lt;=5,X119&gt;=1),2,"")</f>
        <v/>
      </c>
      <c r="Q119" s="38" t="str">
        <f>IF(AND(W119&lt;=10,X119&gt;=6),2,"")</f>
        <v/>
      </c>
      <c r="R119" s="38">
        <f>IF(AND(W119&lt;=15,X119&gt;=11),2,"")</f>
        <v>2</v>
      </c>
      <c r="S119" s="38" t="str">
        <f>IF(AND(W119&lt;=20,X119&gt;=16),2,"")</f>
        <v/>
      </c>
      <c r="T119" s="38" t="str">
        <f>IF(AND(W119&lt;=25,X119&gt;=21),2,"")</f>
        <v/>
      </c>
      <c r="U119" s="38" t="str">
        <f>IF(AND(W119&lt;=30,X119&gt;=26),2,"")</f>
        <v/>
      </c>
      <c r="W119" s="26">
        <f>$W$115+INT(SUM(D$116:D119)/8-D119/8+0.0001)</f>
        <v>14</v>
      </c>
      <c r="X119" s="26">
        <f>MAX(W119,$W$115+ROUNDUP(SUM(D$116:D119)/8,0)-1)</f>
        <v>14</v>
      </c>
      <c r="Y119" s="26">
        <f t="shared" si="9"/>
        <v>1</v>
      </c>
      <c r="Z119" s="26" t="s">
        <v>75</v>
      </c>
      <c r="AA119" s="26" t="s">
        <v>15</v>
      </c>
    </row>
    <row r="120" spans="1:30" x14ac:dyDescent="0.25">
      <c r="A120" s="63" t="s">
        <v>302</v>
      </c>
      <c r="B120" s="64" t="s">
        <v>303</v>
      </c>
      <c r="C120" s="65" t="s">
        <v>15</v>
      </c>
      <c r="D120" s="63">
        <f>SUM(D121:D122)</f>
        <v>12</v>
      </c>
      <c r="E120" s="63">
        <f>ROUNDUP(D120/8,0)</f>
        <v>2</v>
      </c>
      <c r="F120" s="66">
        <f t="shared" si="7"/>
        <v>46317</v>
      </c>
      <c r="G120" s="66">
        <f t="shared" si="8"/>
        <v>46320</v>
      </c>
      <c r="H120" s="67" t="s">
        <v>304</v>
      </c>
      <c r="I120" s="67" t="s">
        <v>305</v>
      </c>
      <c r="J120" s="63" t="str">
        <f>IF(K120&gt;=1,"Done",IF(COUNTIF(J121:J122,"Blocked")&gt;0,"Blocked",IF(OR(K120&gt;0,COUNTIF(J121:J122,"In progress")&gt;0),"In progress","Not started")))</f>
        <v>Not started</v>
      </c>
      <c r="K120" s="68">
        <f>IFERROR(SUMPRODUCT(D121:D122,K121:K122)/D120,0)</f>
        <v>0</v>
      </c>
      <c r="L120" s="69">
        <f>IFERROR(SUMPRODUCT(D121:D122,L121:L122)/D120,0)</f>
        <v>0</v>
      </c>
      <c r="M120" s="70" t="str">
        <f>IF(J120="Done","Done",IF(J120="Blocked","Blocked",IF(AND($C$7&gt;X120,K120&lt;1),"Late","")))</f>
        <v/>
      </c>
      <c r="N120" s="67" t="str">
        <f>IF(COUNTIF(J121:J122,"Blocked")&gt;0,"Blocked subtask — see below","")</f>
        <v/>
      </c>
      <c r="P120" s="38" t="str">
        <f>IF(AND(W120&lt;=5,X120&gt;=1),1,"")</f>
        <v/>
      </c>
      <c r="Q120" s="38" t="str">
        <f>IF(AND(W120&lt;=10,X120&gt;=6),1,"")</f>
        <v/>
      </c>
      <c r="R120" s="38">
        <f>IF(AND(W120&lt;=15,X120&gt;=11),1,"")</f>
        <v>1</v>
      </c>
      <c r="S120" s="38">
        <f>IF(AND(W120&lt;=20,X120&gt;=16),1,"")</f>
        <v>1</v>
      </c>
      <c r="T120" s="38" t="str">
        <f>IF(AND(W120&lt;=25,X120&gt;=21),1,"")</f>
        <v/>
      </c>
      <c r="U120" s="38" t="str">
        <f>IF(AND(W120&lt;=30,X120&gt;=26),1,"")</f>
        <v/>
      </c>
      <c r="W120" s="26">
        <f>MAX(IFERROR(INDEX($X$14:$X$400,MATCH(AC120,$A$14:$A$400,0)),0),IFERROR(INDEX($X$14:$X$400,MATCH(AD120,$A$14:$A$400,0)),0),IFERROR(INDEX($X$14:$X$400,MATCH(AE120,$A$14:$A$400,0)),0),IFERROR(INDEX($X$14:$X$400,MATCH(AF120,$A$14:$A$400,0)),0),IFERROR(INDEX($X$14:$X$400,MATCH(AG120,$A$14:$A$400,0)),0),IFERROR(INDEX($X$14:$X$400,MATCH(AH120,$A$14:$A$400,0)),0),IFERROR(INDEX($X$14:$X$400,MATCH(AI120,$A$14:$A$400,0)),0),IFERROR(INDEX($X$14:$X$400,MATCH(AB120,$A$14:$A$400,0)),0))+1</f>
        <v>15</v>
      </c>
      <c r="X120" s="26">
        <f>W120+Y120-1</f>
        <v>16</v>
      </c>
      <c r="Y120" s="26">
        <f t="shared" si="9"/>
        <v>2</v>
      </c>
      <c r="Z120" s="26" t="s">
        <v>55</v>
      </c>
      <c r="AA120" s="26" t="s">
        <v>15</v>
      </c>
      <c r="AB120" s="26" t="s">
        <v>291</v>
      </c>
      <c r="AC120" s="26" t="s">
        <v>291</v>
      </c>
      <c r="AD120" s="26" t="s">
        <v>200</v>
      </c>
    </row>
    <row r="121" spans="1:30" x14ac:dyDescent="0.25">
      <c r="A121" s="47" t="s">
        <v>306</v>
      </c>
      <c r="B121" s="48" t="s">
        <v>307</v>
      </c>
      <c r="C121" s="49" t="s">
        <v>15</v>
      </c>
      <c r="D121" s="50">
        <v>8</v>
      </c>
      <c r="E121" s="47">
        <f>X121-W121+1</f>
        <v>1</v>
      </c>
      <c r="F121" s="51">
        <f t="shared" si="7"/>
        <v>46317</v>
      </c>
      <c r="G121" s="51">
        <f t="shared" si="8"/>
        <v>46317</v>
      </c>
      <c r="H121" s="47"/>
      <c r="I121" s="47"/>
      <c r="J121" s="50" t="s">
        <v>89</v>
      </c>
      <c r="K121" s="52">
        <v>0</v>
      </c>
      <c r="L121" s="53">
        <f>IFERROR(COUNTIFS(Checklist!$D:$D,"M8.1",Checklist!$I:$I,"Yes")/COUNTIF(Checklist!$D:$D,"M8.1"),0)</f>
        <v>0</v>
      </c>
      <c r="M121" s="47" t="str">
        <f>IF(AND(J121="Done",K121&lt;1),"Check",IF(AND(J121="In progress",K121=0),"Check",IF(AND(K121&gt;=1,J121&lt;&gt;"Done"),"Check",IF(J121="Done","Done",IF(J121="Blocked","Blocked",IF(AND($C$7&gt;X121,K121&lt;1),"Late",""))))))</f>
        <v/>
      </c>
      <c r="N121" s="54"/>
      <c r="P121" s="38" t="str">
        <f>IF(AND(W121&lt;=5,X121&gt;=1),2,"")</f>
        <v/>
      </c>
      <c r="Q121" s="38" t="str">
        <f>IF(AND(W121&lt;=10,X121&gt;=6),2,"")</f>
        <v/>
      </c>
      <c r="R121" s="38">
        <f>IF(AND(W121&lt;=15,X121&gt;=11),2,"")</f>
        <v>2</v>
      </c>
      <c r="S121" s="38" t="str">
        <f>IF(AND(W121&lt;=20,X121&gt;=16),2,"")</f>
        <v/>
      </c>
      <c r="T121" s="38" t="str">
        <f>IF(AND(W121&lt;=25,X121&gt;=21),2,"")</f>
        <v/>
      </c>
      <c r="U121" s="38" t="str">
        <f>IF(AND(W121&lt;=30,X121&gt;=26),2,"")</f>
        <v/>
      </c>
      <c r="W121" s="26">
        <f>$W$120+INT(SUM(D$121:D121)/8-D121/8+0.0001)</f>
        <v>15</v>
      </c>
      <c r="X121" s="26">
        <f>MAX(W121,$W$120+ROUNDUP(SUM(D$121:D121)/8,0)-1)</f>
        <v>15</v>
      </c>
      <c r="Y121" s="26">
        <f t="shared" si="9"/>
        <v>1</v>
      </c>
      <c r="Z121" s="26" t="s">
        <v>75</v>
      </c>
      <c r="AA121" s="26" t="s">
        <v>15</v>
      </c>
    </row>
    <row r="122" spans="1:30" x14ac:dyDescent="0.25">
      <c r="A122" s="47" t="s">
        <v>308</v>
      </c>
      <c r="B122" s="48" t="s">
        <v>309</v>
      </c>
      <c r="C122" s="49" t="s">
        <v>15</v>
      </c>
      <c r="D122" s="50">
        <v>4</v>
      </c>
      <c r="E122" s="47">
        <f>X122-W122+1</f>
        <v>1</v>
      </c>
      <c r="F122" s="51">
        <f t="shared" si="7"/>
        <v>46320</v>
      </c>
      <c r="G122" s="51">
        <f t="shared" si="8"/>
        <v>46320</v>
      </c>
      <c r="H122" s="47"/>
      <c r="I122" s="47"/>
      <c r="J122" s="50" t="s">
        <v>89</v>
      </c>
      <c r="K122" s="52">
        <v>0</v>
      </c>
      <c r="L122" s="53">
        <f>IFERROR(COUNTIFS(Checklist!$D:$D,"M8.2",Checklist!$I:$I,"Yes")/COUNTIF(Checklist!$D:$D,"M8.2"),0)</f>
        <v>0</v>
      </c>
      <c r="M122" s="47" t="str">
        <f>IF(AND(J122="Done",K122&lt;1),"Check",IF(AND(J122="In progress",K122=0),"Check",IF(AND(K122&gt;=1,J122&lt;&gt;"Done"),"Check",IF(J122="Done","Done",IF(J122="Blocked","Blocked",IF(AND($C$7&gt;X122,K122&lt;1),"Late",""))))))</f>
        <v/>
      </c>
      <c r="N122" s="54"/>
      <c r="P122" s="38" t="str">
        <f>IF(AND(W122&lt;=5,X122&gt;=1),2,"")</f>
        <v/>
      </c>
      <c r="Q122" s="38" t="str">
        <f>IF(AND(W122&lt;=10,X122&gt;=6),2,"")</f>
        <v/>
      </c>
      <c r="R122" s="38" t="str">
        <f>IF(AND(W122&lt;=15,X122&gt;=11),2,"")</f>
        <v/>
      </c>
      <c r="S122" s="38">
        <f>IF(AND(W122&lt;=20,X122&gt;=16),2,"")</f>
        <v>2</v>
      </c>
      <c r="T122" s="38" t="str">
        <f>IF(AND(W122&lt;=25,X122&gt;=21),2,"")</f>
        <v/>
      </c>
      <c r="U122" s="38" t="str">
        <f>IF(AND(W122&lt;=30,X122&gt;=26),2,"")</f>
        <v/>
      </c>
      <c r="W122" s="26">
        <f>$W$120+INT(SUM(D$121:D122)/8-D122/8+0.0001)</f>
        <v>16</v>
      </c>
      <c r="X122" s="26">
        <f>MAX(W122,$W$120+ROUNDUP(SUM(D$121:D122)/8,0)-1)</f>
        <v>16</v>
      </c>
      <c r="Y122" s="26">
        <f t="shared" si="9"/>
        <v>1</v>
      </c>
      <c r="Z122" s="26" t="s">
        <v>75</v>
      </c>
      <c r="AA122" s="26" t="s">
        <v>15</v>
      </c>
    </row>
    <row r="123" spans="1:30" x14ac:dyDescent="0.25">
      <c r="A123" s="63" t="s">
        <v>310</v>
      </c>
      <c r="B123" s="64" t="s">
        <v>311</v>
      </c>
      <c r="C123" s="65" t="s">
        <v>15</v>
      </c>
      <c r="D123" s="63">
        <f>SUM(D124:D125)</f>
        <v>12</v>
      </c>
      <c r="E123" s="63">
        <f>ROUNDUP(D123/8,0)</f>
        <v>2</v>
      </c>
      <c r="F123" s="66">
        <f t="shared" si="7"/>
        <v>46321</v>
      </c>
      <c r="G123" s="66">
        <f t="shared" si="8"/>
        <v>46322</v>
      </c>
      <c r="H123" s="67" t="s">
        <v>312</v>
      </c>
      <c r="I123" s="67" t="s">
        <v>313</v>
      </c>
      <c r="J123" s="63" t="str">
        <f>IF(K123&gt;=1,"Done",IF(COUNTIF(J124:J125,"Blocked")&gt;0,"Blocked",IF(OR(K123&gt;0,COUNTIF(J124:J125,"In progress")&gt;0),"In progress","Not started")))</f>
        <v>Not started</v>
      </c>
      <c r="K123" s="68">
        <f>IFERROR(SUMPRODUCT(D124:D125,K124:K125)/D123,0)</f>
        <v>0</v>
      </c>
      <c r="L123" s="69">
        <f>IFERROR(SUMPRODUCT(D124:D125,L124:L125)/D123,0)</f>
        <v>0</v>
      </c>
      <c r="M123" s="70" t="str">
        <f>IF(J123="Done","Done",IF(J123="Blocked","Blocked",IF(AND($C$7&gt;X123,K123&lt;1),"Late","")))</f>
        <v/>
      </c>
      <c r="N123" s="67" t="str">
        <f>IF(COUNTIF(J124:J125,"Blocked")&gt;0,"Blocked subtask — see below","")</f>
        <v/>
      </c>
      <c r="P123" s="38" t="str">
        <f>IF(AND(W123&lt;=5,X123&gt;=1),1,"")</f>
        <v/>
      </c>
      <c r="Q123" s="38" t="str">
        <f>IF(AND(W123&lt;=10,X123&gt;=6),1,"")</f>
        <v/>
      </c>
      <c r="R123" s="38" t="str">
        <f>IF(AND(W123&lt;=15,X123&gt;=11),1,"")</f>
        <v/>
      </c>
      <c r="S123" s="38">
        <f>IF(AND(W123&lt;=20,X123&gt;=16),1,"")</f>
        <v>1</v>
      </c>
      <c r="T123" s="38" t="str">
        <f>IF(AND(W123&lt;=25,X123&gt;=21),1,"")</f>
        <v/>
      </c>
      <c r="U123" s="38" t="str">
        <f>IF(AND(W123&lt;=30,X123&gt;=26),1,"")</f>
        <v/>
      </c>
      <c r="W123" s="26">
        <f>MAX(IFERROR(INDEX($X$14:$X$400,MATCH(AC123,$A$14:$A$400,0)),0),IFERROR(INDEX($X$14:$X$400,MATCH(AD123,$A$14:$A$400,0)),0),IFERROR(INDEX($X$14:$X$400,MATCH(AE123,$A$14:$A$400,0)),0),IFERROR(INDEX($X$14:$X$400,MATCH(AF123,$A$14:$A$400,0)),0),IFERROR(INDEX($X$14:$X$400,MATCH(AG123,$A$14:$A$400,0)),0),IFERROR(INDEX($X$14:$X$400,MATCH(AH123,$A$14:$A$400,0)),0),IFERROR(INDEX($X$14:$X$400,MATCH(AI123,$A$14:$A$400,0)),0),IFERROR(INDEX($X$14:$X$400,MATCH(AB123,$A$14:$A$400,0)),0))+1</f>
        <v>17</v>
      </c>
      <c r="X123" s="26">
        <f>W123+Y123-1</f>
        <v>18</v>
      </c>
      <c r="Y123" s="26">
        <f t="shared" si="9"/>
        <v>2</v>
      </c>
      <c r="Z123" s="26" t="s">
        <v>55</v>
      </c>
      <c r="AA123" s="26" t="s">
        <v>15</v>
      </c>
      <c r="AB123" s="26" t="s">
        <v>302</v>
      </c>
      <c r="AC123" s="26" t="s">
        <v>312</v>
      </c>
    </row>
    <row r="124" spans="1:30" x14ac:dyDescent="0.25">
      <c r="A124" s="47" t="s">
        <v>314</v>
      </c>
      <c r="B124" s="48" t="s">
        <v>315</v>
      </c>
      <c r="C124" s="49" t="s">
        <v>15</v>
      </c>
      <c r="D124" s="50">
        <v>8</v>
      </c>
      <c r="E124" s="47">
        <f>X124-W124+1</f>
        <v>1</v>
      </c>
      <c r="F124" s="51">
        <f t="shared" si="7"/>
        <v>46321</v>
      </c>
      <c r="G124" s="51">
        <f t="shared" si="8"/>
        <v>46321</v>
      </c>
      <c r="H124" s="47"/>
      <c r="I124" s="47"/>
      <c r="J124" s="50" t="s">
        <v>89</v>
      </c>
      <c r="K124" s="52">
        <v>0</v>
      </c>
      <c r="L124" s="53">
        <f>IFERROR(COUNTIFS(Checklist!$D:$D,"M9.1",Checklist!$I:$I,"Yes")/COUNTIF(Checklist!$D:$D,"M9.1"),0)</f>
        <v>0</v>
      </c>
      <c r="M124" s="47" t="str">
        <f>IF(AND(J124="Done",K124&lt;1),"Check",IF(AND(J124="In progress",K124=0),"Check",IF(AND(K124&gt;=1,J124&lt;&gt;"Done"),"Check",IF(J124="Done","Done",IF(J124="Blocked","Blocked",IF(AND($C$7&gt;X124,K124&lt;1),"Late",""))))))</f>
        <v/>
      </c>
      <c r="N124" s="54"/>
      <c r="P124" s="38" t="str">
        <f>IF(AND(W124&lt;=5,X124&gt;=1),2,"")</f>
        <v/>
      </c>
      <c r="Q124" s="38" t="str">
        <f>IF(AND(W124&lt;=10,X124&gt;=6),2,"")</f>
        <v/>
      </c>
      <c r="R124" s="38" t="str">
        <f>IF(AND(W124&lt;=15,X124&gt;=11),2,"")</f>
        <v/>
      </c>
      <c r="S124" s="38">
        <f>IF(AND(W124&lt;=20,X124&gt;=16),2,"")</f>
        <v>2</v>
      </c>
      <c r="T124" s="38" t="str">
        <f>IF(AND(W124&lt;=25,X124&gt;=21),2,"")</f>
        <v/>
      </c>
      <c r="U124" s="38" t="str">
        <f>IF(AND(W124&lt;=30,X124&gt;=26),2,"")</f>
        <v/>
      </c>
      <c r="W124" s="26">
        <f>$W$123+INT(SUM(D$124:D124)/8-D124/8+0.0001)</f>
        <v>17</v>
      </c>
      <c r="X124" s="26">
        <f>MAX(W124,$W$123+ROUNDUP(SUM(D$124:D124)/8,0)-1)</f>
        <v>17</v>
      </c>
      <c r="Y124" s="26">
        <f t="shared" si="9"/>
        <v>1</v>
      </c>
      <c r="Z124" s="26" t="s">
        <v>75</v>
      </c>
      <c r="AA124" s="26" t="s">
        <v>15</v>
      </c>
    </row>
    <row r="125" spans="1:30" x14ac:dyDescent="0.25">
      <c r="A125" s="47" t="s">
        <v>316</v>
      </c>
      <c r="B125" s="48" t="s">
        <v>317</v>
      </c>
      <c r="C125" s="49" t="s">
        <v>15</v>
      </c>
      <c r="D125" s="50">
        <v>4</v>
      </c>
      <c r="E125" s="47">
        <f>X125-W125+1</f>
        <v>1</v>
      </c>
      <c r="F125" s="51">
        <f t="shared" si="7"/>
        <v>46322</v>
      </c>
      <c r="G125" s="51">
        <f t="shared" si="8"/>
        <v>46322</v>
      </c>
      <c r="H125" s="47"/>
      <c r="I125" s="47"/>
      <c r="J125" s="50" t="s">
        <v>89</v>
      </c>
      <c r="K125" s="52">
        <v>0</v>
      </c>
      <c r="L125" s="53">
        <f>IFERROR(COUNTIFS(Checklist!$D:$D,"M9.2",Checklist!$I:$I,"Yes")/COUNTIF(Checklist!$D:$D,"M9.2"),0)</f>
        <v>0</v>
      </c>
      <c r="M125" s="47" t="str">
        <f>IF(AND(J125="Done",K125&lt;1),"Check",IF(AND(J125="In progress",K125=0),"Check",IF(AND(K125&gt;=1,J125&lt;&gt;"Done"),"Check",IF(J125="Done","Done",IF(J125="Blocked","Blocked",IF(AND($C$7&gt;X125,K125&lt;1),"Late",""))))))</f>
        <v/>
      </c>
      <c r="N125" s="54"/>
      <c r="P125" s="38" t="str">
        <f>IF(AND(W125&lt;=5,X125&gt;=1),2,"")</f>
        <v/>
      </c>
      <c r="Q125" s="38" t="str">
        <f>IF(AND(W125&lt;=10,X125&gt;=6),2,"")</f>
        <v/>
      </c>
      <c r="R125" s="38" t="str">
        <f>IF(AND(W125&lt;=15,X125&gt;=11),2,"")</f>
        <v/>
      </c>
      <c r="S125" s="38">
        <f>IF(AND(W125&lt;=20,X125&gt;=16),2,"")</f>
        <v>2</v>
      </c>
      <c r="T125" s="38" t="str">
        <f>IF(AND(W125&lt;=25,X125&gt;=21),2,"")</f>
        <v/>
      </c>
      <c r="U125" s="38" t="str">
        <f>IF(AND(W125&lt;=30,X125&gt;=26),2,"")</f>
        <v/>
      </c>
      <c r="W125" s="26">
        <f>$W$123+INT(SUM(D$124:D125)/8-D125/8+0.0001)</f>
        <v>18</v>
      </c>
      <c r="X125" s="26">
        <f>MAX(W125,$W$123+ROUNDUP(SUM(D$124:D125)/8,0)-1)</f>
        <v>18</v>
      </c>
      <c r="Y125" s="26">
        <f t="shared" si="9"/>
        <v>1</v>
      </c>
      <c r="Z125" s="26" t="s">
        <v>75</v>
      </c>
      <c r="AA125" s="26" t="s">
        <v>15</v>
      </c>
    </row>
    <row r="126" spans="1:30" x14ac:dyDescent="0.25">
      <c r="A126" s="3" t="s">
        <v>318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P126" s="8"/>
      <c r="Q126" s="8"/>
      <c r="R126" s="8"/>
      <c r="S126" s="8"/>
      <c r="T126" s="8"/>
      <c r="U126" s="8"/>
    </row>
    <row r="127" spans="1:30" x14ac:dyDescent="0.25">
      <c r="A127" s="27" t="s">
        <v>319</v>
      </c>
      <c r="B127" s="28" t="s">
        <v>320</v>
      </c>
      <c r="C127" s="29" t="s">
        <v>321</v>
      </c>
      <c r="D127" s="30">
        <v>1</v>
      </c>
      <c r="E127" s="31">
        <v>3</v>
      </c>
      <c r="F127" s="32">
        <f t="shared" ref="F127:G133" si="10">$C$5+INT((W127-1)/5)*7+MOD(W127-1,5)</f>
        <v>46302</v>
      </c>
      <c r="G127" s="32">
        <f t="shared" si="10"/>
        <v>46306</v>
      </c>
      <c r="H127" s="33" t="s">
        <v>111</v>
      </c>
      <c r="I127" s="33" t="s">
        <v>322</v>
      </c>
      <c r="J127" s="31" t="s">
        <v>89</v>
      </c>
      <c r="K127" s="34">
        <v>0</v>
      </c>
      <c r="L127" s="35">
        <f>IFERROR(COUNTIFS(Checklist!$D:$D,"X10",Checklist!$I:$I,"Yes")/COUNTIF(Checklist!$D:$D,"X10"),0)</f>
        <v>0</v>
      </c>
      <c r="M127" s="36" t="str">
        <f t="shared" ref="M127:M133" si="11">IF(AND(J127="Done",K127&lt;1),"Check",IF(AND(J127="In progress",K127=0),"Check",IF(AND(K127&gt;=1,J127&lt;&gt;"Done"),"Check",IF(J127="Done","Done",IF(J127="Blocked","Blocked",IF(AND($C$7&gt;X127,K127&lt;1),"Late",""))))))</f>
        <v/>
      </c>
      <c r="N127" s="37"/>
      <c r="P127" s="38">
        <f t="shared" ref="P127:P133" si="12">IF(AND(W127&lt;=5,X127&gt;=1),1,"")</f>
        <v>1</v>
      </c>
      <c r="Q127" s="38">
        <f t="shared" ref="Q127:Q133" si="13">IF(AND(W127&lt;=10,X127&gt;=6),1,"")</f>
        <v>1</v>
      </c>
      <c r="R127" s="38" t="str">
        <f t="shared" ref="R127:R133" si="14">IF(AND(W127&lt;=15,X127&gt;=11),1,"")</f>
        <v/>
      </c>
      <c r="S127" s="38" t="str">
        <f t="shared" ref="S127:S133" si="15">IF(AND(W127&lt;=20,X127&gt;=16),1,"")</f>
        <v/>
      </c>
      <c r="T127" s="38" t="str">
        <f t="shared" ref="T127:T133" si="16">IF(AND(W127&lt;=25,X127&gt;=21),1,"")</f>
        <v/>
      </c>
      <c r="U127" s="38" t="str">
        <f t="shared" ref="U127:U133" si="17">IF(AND(W127&lt;=30,X127&gt;=26),1,"")</f>
        <v/>
      </c>
      <c r="W127" s="26">
        <f t="shared" ref="W127:W133" si="18">MAX(IFERROR(INDEX($X$14:$X$400,MATCH(AC127,$A$14:$A$400,0)),0),IFERROR(INDEX($X$14:$X$400,MATCH(AD127,$A$14:$A$400,0)),0),IFERROR(INDEX($X$14:$X$400,MATCH(AE127,$A$14:$A$400,0)),0),IFERROR(INDEX($X$14:$X$400,MATCH(AF127,$A$14:$A$400,0)),0),IFERROR(INDEX($X$14:$X$400,MATCH(AG127,$A$14:$A$400,0)),0),IFERROR(INDEX($X$14:$X$400,MATCH(AH127,$A$14:$A$400,0)),0),IFERROR(INDEX($X$14:$X$400,MATCH(AI127,$A$14:$A$400,0)),0),IFERROR(INDEX($X$14:$X$400,MATCH(AB127,$A$14:$A$400,0)),0))+1</f>
        <v>4</v>
      </c>
      <c r="X127" s="26">
        <f t="shared" ref="X127:X133" si="19">W127+Y127-1</f>
        <v>6</v>
      </c>
      <c r="Y127" s="26">
        <f t="shared" ref="Y127:Y133" si="20">E127</f>
        <v>3</v>
      </c>
      <c r="Z127" s="26" t="s">
        <v>55</v>
      </c>
      <c r="AA127" s="26" t="s">
        <v>56</v>
      </c>
      <c r="AC127" s="26" t="s">
        <v>111</v>
      </c>
    </row>
    <row r="128" spans="1:30" ht="25.5" x14ac:dyDescent="0.25">
      <c r="A128" s="27" t="s">
        <v>212</v>
      </c>
      <c r="B128" s="28" t="s">
        <v>323</v>
      </c>
      <c r="C128" s="29" t="s">
        <v>324</v>
      </c>
      <c r="D128" s="30">
        <v>1</v>
      </c>
      <c r="E128" s="31">
        <v>6</v>
      </c>
      <c r="F128" s="32">
        <f t="shared" si="10"/>
        <v>46307</v>
      </c>
      <c r="G128" s="32">
        <f t="shared" si="10"/>
        <v>46314</v>
      </c>
      <c r="H128" s="33" t="s">
        <v>256</v>
      </c>
      <c r="I128" s="33" t="s">
        <v>325</v>
      </c>
      <c r="J128" s="31" t="s">
        <v>89</v>
      </c>
      <c r="K128" s="34">
        <v>0</v>
      </c>
      <c r="L128" s="35">
        <f>IFERROR(COUNTIFS(Checklist!$D:$D,"X5",Checklist!$I:$I,"Yes")/COUNTIF(Checklist!$D:$D,"X5"),0)</f>
        <v>0</v>
      </c>
      <c r="M128" s="36" t="str">
        <f t="shared" si="11"/>
        <v/>
      </c>
      <c r="N128" s="37"/>
      <c r="P128" s="38" t="str">
        <f t="shared" si="12"/>
        <v/>
      </c>
      <c r="Q128" s="38">
        <f t="shared" si="13"/>
        <v>1</v>
      </c>
      <c r="R128" s="38">
        <f t="shared" si="14"/>
        <v>1</v>
      </c>
      <c r="S128" s="38" t="str">
        <f t="shared" si="15"/>
        <v/>
      </c>
      <c r="T128" s="38" t="str">
        <f t="shared" si="16"/>
        <v/>
      </c>
      <c r="U128" s="38" t="str">
        <f t="shared" si="17"/>
        <v/>
      </c>
      <c r="W128" s="26">
        <f t="shared" si="18"/>
        <v>7</v>
      </c>
      <c r="X128" s="26">
        <f t="shared" si="19"/>
        <v>12</v>
      </c>
      <c r="Y128" s="26">
        <f t="shared" si="20"/>
        <v>6</v>
      </c>
      <c r="Z128" s="26" t="s">
        <v>55</v>
      </c>
      <c r="AA128" s="26" t="s">
        <v>56</v>
      </c>
      <c r="AC128" s="26" t="s">
        <v>256</v>
      </c>
    </row>
    <row r="129" spans="1:35" ht="25.5" x14ac:dyDescent="0.25">
      <c r="A129" s="27" t="s">
        <v>326</v>
      </c>
      <c r="B129" s="28" t="s">
        <v>327</v>
      </c>
      <c r="C129" s="29" t="s">
        <v>324</v>
      </c>
      <c r="D129" s="30">
        <v>1</v>
      </c>
      <c r="E129" s="31">
        <v>2</v>
      </c>
      <c r="F129" s="32">
        <f t="shared" si="10"/>
        <v>46316</v>
      </c>
      <c r="G129" s="32">
        <f t="shared" si="10"/>
        <v>46317</v>
      </c>
      <c r="H129" s="33" t="s">
        <v>210</v>
      </c>
      <c r="I129" s="33" t="s">
        <v>328</v>
      </c>
      <c r="J129" s="31" t="s">
        <v>89</v>
      </c>
      <c r="K129" s="34">
        <v>0</v>
      </c>
      <c r="L129" s="35">
        <f>IFERROR(COUNTIFS(Checklist!$D:$D,"X6a",Checklist!$I:$I,"Yes")/COUNTIF(Checklist!$D:$D,"X6a"),0)</f>
        <v>0</v>
      </c>
      <c r="M129" s="36" t="str">
        <f t="shared" si="11"/>
        <v/>
      </c>
      <c r="N129" s="37"/>
      <c r="P129" s="38" t="str">
        <f t="shared" si="12"/>
        <v/>
      </c>
      <c r="Q129" s="38" t="str">
        <f t="shared" si="13"/>
        <v/>
      </c>
      <c r="R129" s="38">
        <f t="shared" si="14"/>
        <v>1</v>
      </c>
      <c r="S129" s="38" t="str">
        <f t="shared" si="15"/>
        <v/>
      </c>
      <c r="T129" s="38" t="str">
        <f t="shared" si="16"/>
        <v/>
      </c>
      <c r="U129" s="38" t="str">
        <f t="shared" si="17"/>
        <v/>
      </c>
      <c r="W129" s="26">
        <f t="shared" si="18"/>
        <v>14</v>
      </c>
      <c r="X129" s="26">
        <f t="shared" si="19"/>
        <v>15</v>
      </c>
      <c r="Y129" s="26">
        <f t="shared" si="20"/>
        <v>2</v>
      </c>
      <c r="Z129" s="26" t="s">
        <v>55</v>
      </c>
      <c r="AA129" s="26" t="s">
        <v>56</v>
      </c>
      <c r="AC129" s="26" t="s">
        <v>210</v>
      </c>
    </row>
    <row r="130" spans="1:35" x14ac:dyDescent="0.25">
      <c r="A130" s="27" t="s">
        <v>312</v>
      </c>
      <c r="B130" s="28" t="s">
        <v>329</v>
      </c>
      <c r="C130" s="29" t="s">
        <v>330</v>
      </c>
      <c r="D130" s="30">
        <v>1</v>
      </c>
      <c r="E130" s="31">
        <v>3</v>
      </c>
      <c r="F130" s="32">
        <f t="shared" si="10"/>
        <v>46315</v>
      </c>
      <c r="G130" s="32">
        <f t="shared" si="10"/>
        <v>46317</v>
      </c>
      <c r="H130" s="33" t="s">
        <v>331</v>
      </c>
      <c r="I130" s="33" t="s">
        <v>332</v>
      </c>
      <c r="J130" s="31" t="s">
        <v>89</v>
      </c>
      <c r="K130" s="34">
        <v>0</v>
      </c>
      <c r="L130" s="35">
        <f>IFERROR(COUNTIFS(Checklist!$D:$D,"X7",Checklist!$I:$I,"Yes")/COUNTIF(Checklist!$D:$D,"X7"),0)</f>
        <v>0</v>
      </c>
      <c r="M130" s="36" t="str">
        <f t="shared" si="11"/>
        <v/>
      </c>
      <c r="N130" s="37"/>
      <c r="P130" s="38" t="str">
        <f t="shared" si="12"/>
        <v/>
      </c>
      <c r="Q130" s="38" t="str">
        <f t="shared" si="13"/>
        <v/>
      </c>
      <c r="R130" s="38">
        <f t="shared" si="14"/>
        <v>1</v>
      </c>
      <c r="S130" s="38" t="str">
        <f t="shared" si="15"/>
        <v/>
      </c>
      <c r="T130" s="38" t="str">
        <f t="shared" si="16"/>
        <v/>
      </c>
      <c r="U130" s="38" t="str">
        <f t="shared" si="17"/>
        <v/>
      </c>
      <c r="W130" s="26">
        <f t="shared" si="18"/>
        <v>13</v>
      </c>
      <c r="X130" s="26">
        <f t="shared" si="19"/>
        <v>15</v>
      </c>
      <c r="Y130" s="26">
        <f t="shared" si="20"/>
        <v>3</v>
      </c>
      <c r="Z130" s="26" t="s">
        <v>55</v>
      </c>
      <c r="AA130" s="26" t="s">
        <v>56</v>
      </c>
      <c r="AC130" s="26" t="s">
        <v>145</v>
      </c>
      <c r="AD130" s="26" t="s">
        <v>275</v>
      </c>
      <c r="AE130" s="26" t="s">
        <v>118</v>
      </c>
    </row>
    <row r="131" spans="1:35" ht="25.5" x14ac:dyDescent="0.25">
      <c r="A131" s="27" t="s">
        <v>233</v>
      </c>
      <c r="B131" s="28" t="s">
        <v>333</v>
      </c>
      <c r="C131" s="29" t="s">
        <v>324</v>
      </c>
      <c r="D131" s="30">
        <v>1</v>
      </c>
      <c r="E131" s="31">
        <v>2</v>
      </c>
      <c r="F131" s="32">
        <f t="shared" si="10"/>
        <v>46321</v>
      </c>
      <c r="G131" s="32">
        <f t="shared" si="10"/>
        <v>46322</v>
      </c>
      <c r="H131" s="33" t="s">
        <v>334</v>
      </c>
      <c r="I131" s="33" t="s">
        <v>335</v>
      </c>
      <c r="J131" s="31" t="s">
        <v>89</v>
      </c>
      <c r="K131" s="34">
        <v>0</v>
      </c>
      <c r="L131" s="35">
        <f>IFERROR(COUNTIFS(Checklist!$D:$D,"X6b",Checklist!$I:$I,"Yes")/COUNTIF(Checklist!$D:$D,"X6b"),0)</f>
        <v>0</v>
      </c>
      <c r="M131" s="36" t="str">
        <f t="shared" si="11"/>
        <v/>
      </c>
      <c r="N131" s="37"/>
      <c r="P131" s="38" t="str">
        <f t="shared" si="12"/>
        <v/>
      </c>
      <c r="Q131" s="38" t="str">
        <f t="shared" si="13"/>
        <v/>
      </c>
      <c r="R131" s="38" t="str">
        <f t="shared" si="14"/>
        <v/>
      </c>
      <c r="S131" s="38">
        <f t="shared" si="15"/>
        <v>1</v>
      </c>
      <c r="T131" s="38" t="str">
        <f t="shared" si="16"/>
        <v/>
      </c>
      <c r="U131" s="38" t="str">
        <f t="shared" si="17"/>
        <v/>
      </c>
      <c r="W131" s="26">
        <f t="shared" si="18"/>
        <v>17</v>
      </c>
      <c r="X131" s="26">
        <f t="shared" si="19"/>
        <v>18</v>
      </c>
      <c r="Y131" s="26">
        <f t="shared" si="20"/>
        <v>2</v>
      </c>
      <c r="Z131" s="26" t="s">
        <v>55</v>
      </c>
      <c r="AA131" s="26" t="s">
        <v>56</v>
      </c>
      <c r="AC131" s="26" t="s">
        <v>226</v>
      </c>
      <c r="AD131" s="26" t="s">
        <v>326</v>
      </c>
    </row>
    <row r="132" spans="1:35" x14ac:dyDescent="0.25">
      <c r="A132" s="27" t="s">
        <v>336</v>
      </c>
      <c r="B132" s="28" t="s">
        <v>337</v>
      </c>
      <c r="C132" s="29" t="s">
        <v>338</v>
      </c>
      <c r="D132" s="30">
        <v>1</v>
      </c>
      <c r="E132" s="31">
        <v>2</v>
      </c>
      <c r="F132" s="32">
        <f t="shared" si="10"/>
        <v>46317</v>
      </c>
      <c r="G132" s="32">
        <f t="shared" si="10"/>
        <v>46320</v>
      </c>
      <c r="H132" s="33" t="s">
        <v>291</v>
      </c>
      <c r="I132" s="33" t="s">
        <v>339</v>
      </c>
      <c r="J132" s="31" t="s">
        <v>89</v>
      </c>
      <c r="K132" s="34">
        <v>0</v>
      </c>
      <c r="L132" s="35">
        <f>IFERROR(COUNTIFS(Checklist!$D:$D,"X9",Checklist!$I:$I,"Yes")/COUNTIF(Checklist!$D:$D,"X9"),0)</f>
        <v>0</v>
      </c>
      <c r="M132" s="36" t="str">
        <f t="shared" si="11"/>
        <v/>
      </c>
      <c r="N132" s="37"/>
      <c r="P132" s="38" t="str">
        <f t="shared" si="12"/>
        <v/>
      </c>
      <c r="Q132" s="38" t="str">
        <f t="shared" si="13"/>
        <v/>
      </c>
      <c r="R132" s="38">
        <f t="shared" si="14"/>
        <v>1</v>
      </c>
      <c r="S132" s="38">
        <f t="shared" si="15"/>
        <v>1</v>
      </c>
      <c r="T132" s="38" t="str">
        <f t="shared" si="16"/>
        <v/>
      </c>
      <c r="U132" s="38" t="str">
        <f t="shared" si="17"/>
        <v/>
      </c>
      <c r="W132" s="26">
        <f t="shared" si="18"/>
        <v>15</v>
      </c>
      <c r="X132" s="26">
        <f t="shared" si="19"/>
        <v>16</v>
      </c>
      <c r="Y132" s="26">
        <f t="shared" si="20"/>
        <v>2</v>
      </c>
      <c r="Z132" s="26" t="s">
        <v>55</v>
      </c>
      <c r="AA132" s="26" t="s">
        <v>56</v>
      </c>
      <c r="AC132" s="26" t="s">
        <v>291</v>
      </c>
    </row>
    <row r="133" spans="1:35" ht="25.5" x14ac:dyDescent="0.25">
      <c r="A133" s="27" t="s">
        <v>340</v>
      </c>
      <c r="B133" s="28" t="s">
        <v>341</v>
      </c>
      <c r="C133" s="29" t="s">
        <v>342</v>
      </c>
      <c r="D133" s="30">
        <v>1</v>
      </c>
      <c r="E133" s="31">
        <v>3</v>
      </c>
      <c r="F133" s="32">
        <f t="shared" si="10"/>
        <v>46321</v>
      </c>
      <c r="G133" s="32">
        <f t="shared" si="10"/>
        <v>46323</v>
      </c>
      <c r="H133" s="33" t="s">
        <v>302</v>
      </c>
      <c r="I133" s="33" t="s">
        <v>343</v>
      </c>
      <c r="J133" s="31" t="s">
        <v>89</v>
      </c>
      <c r="K133" s="34">
        <v>0</v>
      </c>
      <c r="L133" s="35">
        <f>IFERROR(COUNTIFS(Checklist!$D:$D,"X8",Checklist!$I:$I,"Yes")/COUNTIF(Checklist!$D:$D,"X8"),0)</f>
        <v>0</v>
      </c>
      <c r="M133" s="36" t="str">
        <f t="shared" si="11"/>
        <v/>
      </c>
      <c r="N133" s="37"/>
      <c r="P133" s="38" t="str">
        <f t="shared" si="12"/>
        <v/>
      </c>
      <c r="Q133" s="38" t="str">
        <f t="shared" si="13"/>
        <v/>
      </c>
      <c r="R133" s="38" t="str">
        <f t="shared" si="14"/>
        <v/>
      </c>
      <c r="S133" s="38">
        <f t="shared" si="15"/>
        <v>1</v>
      </c>
      <c r="T133" s="38" t="str">
        <f t="shared" si="16"/>
        <v/>
      </c>
      <c r="U133" s="38" t="str">
        <f t="shared" si="17"/>
        <v/>
      </c>
      <c r="W133" s="26">
        <f t="shared" si="18"/>
        <v>17</v>
      </c>
      <c r="X133" s="26">
        <f t="shared" si="19"/>
        <v>19</v>
      </c>
      <c r="Y133" s="26">
        <f t="shared" si="20"/>
        <v>3</v>
      </c>
      <c r="Z133" s="26" t="s">
        <v>55</v>
      </c>
      <c r="AA133" s="26" t="s">
        <v>56</v>
      </c>
      <c r="AC133" s="26" t="s">
        <v>302</v>
      </c>
    </row>
    <row r="134" spans="1:35" x14ac:dyDescent="0.25">
      <c r="A134" s="3" t="s">
        <v>344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P134" s="8"/>
      <c r="Q134" s="8"/>
      <c r="R134" s="8"/>
      <c r="S134" s="8"/>
      <c r="T134" s="8"/>
      <c r="U134" s="8"/>
    </row>
    <row r="135" spans="1:35" ht="25.5" x14ac:dyDescent="0.25">
      <c r="A135" s="27" t="s">
        <v>345</v>
      </c>
      <c r="B135" s="28" t="s">
        <v>346</v>
      </c>
      <c r="C135" s="29" t="s">
        <v>347</v>
      </c>
      <c r="D135" s="30">
        <v>2</v>
      </c>
      <c r="E135" s="31">
        <v>1</v>
      </c>
      <c r="F135" s="32">
        <f t="shared" ref="F135:G137" si="21">$C$5+INT((W135-1)/5)*7+MOD(W135-1,5)</f>
        <v>46327</v>
      </c>
      <c r="G135" s="32">
        <f t="shared" si="21"/>
        <v>46327</v>
      </c>
      <c r="H135" s="33" t="s">
        <v>348</v>
      </c>
      <c r="I135" s="33" t="s">
        <v>349</v>
      </c>
      <c r="J135" s="31" t="s">
        <v>89</v>
      </c>
      <c r="K135" s="34">
        <v>0</v>
      </c>
      <c r="L135" s="35">
        <f>IFERROR(COUNTIFS(Checklist!$D:$D,"G1",Checklist!$I:$I,"Yes")/COUNTIF(Checklist!$D:$D,"G1"),0)</f>
        <v>0</v>
      </c>
      <c r="M135" s="36" t="str">
        <f>IF(AND(J135="Done",K135&lt;1),"Check",IF(AND(J135="In progress",K135=0),"Check",IF(AND(K135&gt;=1,J135&lt;&gt;"Done"),"Check",IF(J135="Done","Done",IF(J135="Blocked","Blocked",IF(AND($C$7&gt;X135,K135&lt;1),"Late",""))))))</f>
        <v/>
      </c>
      <c r="N135" s="37"/>
      <c r="P135" s="38" t="str">
        <f>IF(AND(W135&lt;=5,X135&gt;=1),1,"")</f>
        <v/>
      </c>
      <c r="Q135" s="38" t="str">
        <f>IF(AND(W135&lt;=10,X135&gt;=6),1,"")</f>
        <v/>
      </c>
      <c r="R135" s="38" t="str">
        <f>IF(AND(W135&lt;=15,X135&gt;=11),1,"")</f>
        <v/>
      </c>
      <c r="S135" s="38" t="str">
        <f>IF(AND(W135&lt;=20,X135&gt;=16),1,"")</f>
        <v/>
      </c>
      <c r="T135" s="38">
        <f>IF(AND(W135&lt;=25,X135&gt;=21),1,"")</f>
        <v>1</v>
      </c>
      <c r="U135" s="38" t="str">
        <f>IF(AND(W135&lt;=30,X135&gt;=26),1,"")</f>
        <v/>
      </c>
      <c r="W135" s="26">
        <f>MAX(IFERROR(INDEX($X$14:$X$400,MATCH(AC135,$A$14:$A$400,0)),0),IFERROR(INDEX($X$14:$X$400,MATCH(AD135,$A$14:$A$400,0)),0),IFERROR(INDEX($X$14:$X$400,MATCH(AE135,$A$14:$A$400,0)),0),IFERROR(INDEX($X$14:$X$400,MATCH(AF135,$A$14:$A$400,0)),0),IFERROR(INDEX($X$14:$X$400,MATCH(AG135,$A$14:$A$400,0)),0),IFERROR(INDEX($X$14:$X$400,MATCH(AH135,$A$14:$A$400,0)),0),IFERROR(INDEX($X$14:$X$400,MATCH(AI135,$A$14:$A$400,0)),0),IFERROR(INDEX($X$14:$X$400,MATCH(AB135,$A$14:$A$400,0)),0))+1</f>
        <v>21</v>
      </c>
      <c r="X135" s="26">
        <f>W135+Y135-1</f>
        <v>21</v>
      </c>
      <c r="Y135" s="26">
        <f>E135</f>
        <v>1</v>
      </c>
      <c r="Z135" s="26" t="s">
        <v>55</v>
      </c>
      <c r="AA135" s="26" t="s">
        <v>56</v>
      </c>
      <c r="AC135" s="26" t="s">
        <v>231</v>
      </c>
      <c r="AD135" s="26" t="s">
        <v>155</v>
      </c>
      <c r="AE135" s="26" t="s">
        <v>310</v>
      </c>
      <c r="AF135" s="26" t="s">
        <v>61</v>
      </c>
      <c r="AG135" s="26" t="s">
        <v>64</v>
      </c>
      <c r="AH135" s="26" t="s">
        <v>340</v>
      </c>
      <c r="AI135" s="26" t="s">
        <v>319</v>
      </c>
    </row>
    <row r="136" spans="1:35" ht="25.5" x14ac:dyDescent="0.25">
      <c r="A136" s="27" t="s">
        <v>350</v>
      </c>
      <c r="B136" s="28" t="s">
        <v>351</v>
      </c>
      <c r="C136" s="29" t="s">
        <v>352</v>
      </c>
      <c r="D136" s="30">
        <v>4</v>
      </c>
      <c r="E136" s="31">
        <v>4</v>
      </c>
      <c r="F136" s="32">
        <f t="shared" si="21"/>
        <v>46328</v>
      </c>
      <c r="G136" s="32">
        <f t="shared" si="21"/>
        <v>46331</v>
      </c>
      <c r="H136" s="33" t="s">
        <v>353</v>
      </c>
      <c r="I136" s="33" t="s">
        <v>354</v>
      </c>
      <c r="J136" s="31" t="s">
        <v>89</v>
      </c>
      <c r="K136" s="34">
        <v>0</v>
      </c>
      <c r="L136" s="35">
        <f>IFERROR(COUNTIFS(Checklist!$D:$D,"P1",Checklist!$I:$I,"Yes")/COUNTIF(Checklist!$D:$D,"P1"),0)</f>
        <v>0</v>
      </c>
      <c r="M136" s="36" t="str">
        <f>IF(AND(J136="Done",K136&lt;1),"Check",IF(AND(J136="In progress",K136=0),"Check",IF(AND(K136&gt;=1,J136&lt;&gt;"Done"),"Check",IF(J136="Done","Done",IF(J136="Blocked","Blocked",IF(AND($C$7&gt;X136,K136&lt;1),"Late",""))))))</f>
        <v/>
      </c>
      <c r="N136" s="37"/>
      <c r="P136" s="38" t="str">
        <f>IF(AND(W136&lt;=5,X136&gt;=1),1,"")</f>
        <v/>
      </c>
      <c r="Q136" s="38" t="str">
        <f>IF(AND(W136&lt;=10,X136&gt;=6),1,"")</f>
        <v/>
      </c>
      <c r="R136" s="38" t="str">
        <f>IF(AND(W136&lt;=15,X136&gt;=11),1,"")</f>
        <v/>
      </c>
      <c r="S136" s="38" t="str">
        <f>IF(AND(W136&lt;=20,X136&gt;=16),1,"")</f>
        <v/>
      </c>
      <c r="T136" s="38">
        <f>IF(AND(W136&lt;=25,X136&gt;=21),1,"")</f>
        <v>1</v>
      </c>
      <c r="U136" s="38" t="str">
        <f>IF(AND(W136&lt;=30,X136&gt;=26),1,"")</f>
        <v/>
      </c>
      <c r="W136" s="26">
        <f>MAX(IFERROR(INDEX($X$14:$X$400,MATCH(AC136,$A$14:$A$400,0)),0),IFERROR(INDEX($X$14:$X$400,MATCH(AD136,$A$14:$A$400,0)),0),IFERROR(INDEX($X$14:$X$400,MATCH(AE136,$A$14:$A$400,0)),0),IFERROR(INDEX($X$14:$X$400,MATCH(AF136,$A$14:$A$400,0)),0),IFERROR(INDEX($X$14:$X$400,MATCH(AG136,$A$14:$A$400,0)),0),IFERROR(INDEX($X$14:$X$400,MATCH(AH136,$A$14:$A$400,0)),0),IFERROR(INDEX($X$14:$X$400,MATCH(AI136,$A$14:$A$400,0)),0),IFERROR(INDEX($X$14:$X$400,MATCH(AB136,$A$14:$A$400,0)),0))+1</f>
        <v>22</v>
      </c>
      <c r="X136" s="26">
        <f>W136+Y136-1</f>
        <v>25</v>
      </c>
      <c r="Y136" s="26">
        <f>E136</f>
        <v>4</v>
      </c>
      <c r="Z136" s="26" t="s">
        <v>55</v>
      </c>
      <c r="AA136" s="26" t="s">
        <v>56</v>
      </c>
      <c r="AC136" s="26" t="s">
        <v>345</v>
      </c>
      <c r="AD136" s="26" t="s">
        <v>336</v>
      </c>
    </row>
    <row r="137" spans="1:35" x14ac:dyDescent="0.25">
      <c r="A137" s="27" t="s">
        <v>355</v>
      </c>
      <c r="B137" s="28" t="s">
        <v>356</v>
      </c>
      <c r="C137" s="29" t="s">
        <v>66</v>
      </c>
      <c r="D137" s="30">
        <v>4</v>
      </c>
      <c r="E137" s="31">
        <v>1</v>
      </c>
      <c r="F137" s="32">
        <f t="shared" si="21"/>
        <v>46334</v>
      </c>
      <c r="G137" s="32">
        <f t="shared" si="21"/>
        <v>46334</v>
      </c>
      <c r="H137" s="33" t="s">
        <v>350</v>
      </c>
      <c r="I137" s="33" t="s">
        <v>357</v>
      </c>
      <c r="J137" s="31" t="s">
        <v>89</v>
      </c>
      <c r="K137" s="34">
        <v>0</v>
      </c>
      <c r="L137" s="35">
        <f>IFERROR(COUNTIFS(Checklist!$D:$D,"P2",Checklist!$I:$I,"Yes")/COUNTIF(Checklist!$D:$D,"P2"),0)</f>
        <v>0</v>
      </c>
      <c r="M137" s="36" t="str">
        <f>IF(AND(J137="Done",K137&lt;1),"Check",IF(AND(J137="In progress",K137=0),"Check",IF(AND(K137&gt;=1,J137&lt;&gt;"Done"),"Check",IF(J137="Done","Done",IF(J137="Blocked","Blocked",IF(AND($C$7&gt;X137,K137&lt;1),"Late",""))))))</f>
        <v/>
      </c>
      <c r="N137" s="37"/>
      <c r="P137" s="38" t="str">
        <f>IF(AND(W137&lt;=5,X137&gt;=1),1,"")</f>
        <v/>
      </c>
      <c r="Q137" s="38" t="str">
        <f>IF(AND(W137&lt;=10,X137&gt;=6),1,"")</f>
        <v/>
      </c>
      <c r="R137" s="38" t="str">
        <f>IF(AND(W137&lt;=15,X137&gt;=11),1,"")</f>
        <v/>
      </c>
      <c r="S137" s="38" t="str">
        <f>IF(AND(W137&lt;=20,X137&gt;=16),1,"")</f>
        <v/>
      </c>
      <c r="T137" s="38" t="str">
        <f>IF(AND(W137&lt;=25,X137&gt;=21),1,"")</f>
        <v/>
      </c>
      <c r="U137" s="38">
        <f>IF(AND(W137&lt;=30,X137&gt;=26),1,"")</f>
        <v>1</v>
      </c>
      <c r="W137" s="26">
        <f>MAX(IFERROR(INDEX($X$14:$X$400,MATCH(AC137,$A$14:$A$400,0)),0),IFERROR(INDEX($X$14:$X$400,MATCH(AD137,$A$14:$A$400,0)),0),IFERROR(INDEX($X$14:$X$400,MATCH(AE137,$A$14:$A$400,0)),0),IFERROR(INDEX($X$14:$X$400,MATCH(AF137,$A$14:$A$400,0)),0),IFERROR(INDEX($X$14:$X$400,MATCH(AG137,$A$14:$A$400,0)),0),IFERROR(INDEX($X$14:$X$400,MATCH(AH137,$A$14:$A$400,0)),0),IFERROR(INDEX($X$14:$X$400,MATCH(AI137,$A$14:$A$400,0)),0),IFERROR(INDEX($X$14:$X$400,MATCH(AB137,$A$14:$A$400,0)),0))+1</f>
        <v>26</v>
      </c>
      <c r="X137" s="26">
        <f>W137+Y137-1</f>
        <v>26</v>
      </c>
      <c r="Y137" s="26">
        <f>E137</f>
        <v>1</v>
      </c>
      <c r="Z137" s="26" t="s">
        <v>55</v>
      </c>
      <c r="AA137" s="26" t="s">
        <v>56</v>
      </c>
      <c r="AC137" s="26" t="s">
        <v>350</v>
      </c>
    </row>
    <row r="139" spans="1:35" x14ac:dyDescent="0.25">
      <c r="A139" s="2" t="s">
        <v>358</v>
      </c>
      <c r="B139" s="2"/>
    </row>
    <row r="140" spans="1:35" x14ac:dyDescent="0.25">
      <c r="A140" s="71"/>
      <c r="B140" s="1" t="s">
        <v>359</v>
      </c>
      <c r="C140" s="1"/>
      <c r="D140" s="1"/>
      <c r="E140" s="1"/>
    </row>
    <row r="141" spans="1:35" x14ac:dyDescent="0.25">
      <c r="A141" s="72"/>
      <c r="B141" s="1" t="s">
        <v>360</v>
      </c>
      <c r="C141" s="1"/>
      <c r="D141" s="1"/>
      <c r="E141" s="1"/>
    </row>
    <row r="142" spans="1:35" x14ac:dyDescent="0.25">
      <c r="A142" s="73"/>
      <c r="B142" s="1" t="s">
        <v>361</v>
      </c>
      <c r="C142" s="1"/>
      <c r="D142" s="1"/>
      <c r="E142" s="1"/>
    </row>
    <row r="143" spans="1:35" x14ac:dyDescent="0.25">
      <c r="A143" s="74"/>
      <c r="B143" s="1" t="s">
        <v>362</v>
      </c>
      <c r="C143" s="1"/>
      <c r="D143" s="1"/>
      <c r="E143" s="1"/>
    </row>
    <row r="144" spans="1:35" x14ac:dyDescent="0.25">
      <c r="A144" s="75"/>
      <c r="B144" s="1" t="s">
        <v>363</v>
      </c>
      <c r="C144" s="1"/>
      <c r="D144" s="1"/>
      <c r="E144" s="1"/>
    </row>
  </sheetData>
  <autoFilter ref="A13:N137" xr:uid="{00000000-0009-0000-0000-000000000000}"/>
  <mergeCells count="21">
    <mergeCell ref="B144:E144"/>
    <mergeCell ref="A139:B139"/>
    <mergeCell ref="B140:E140"/>
    <mergeCell ref="B141:E141"/>
    <mergeCell ref="B142:E142"/>
    <mergeCell ref="B143:E143"/>
    <mergeCell ref="A19:N19"/>
    <mergeCell ref="A59:N59"/>
    <mergeCell ref="A92:N92"/>
    <mergeCell ref="A126:N126"/>
    <mergeCell ref="A134:N134"/>
    <mergeCell ref="A8:B8"/>
    <mergeCell ref="A9:B9"/>
    <mergeCell ref="A10:B10"/>
    <mergeCell ref="H11:N11"/>
    <mergeCell ref="A14:N14"/>
    <mergeCell ref="A1:N1"/>
    <mergeCell ref="A2:N2"/>
    <mergeCell ref="A5:B5"/>
    <mergeCell ref="A6:B6"/>
    <mergeCell ref="A7:B7"/>
  </mergeCells>
  <conditionalFormatting sqref="L6:N10">
    <cfRule type="cellIs" dxfId="18" priority="2" operator="greaterThan">
      <formula>0</formula>
    </cfRule>
  </conditionalFormatting>
  <conditionalFormatting sqref="K6:K10">
    <cfRule type="expression" dxfId="17" priority="3">
      <formula>K6&lt;J6-0.1</formula>
    </cfRule>
  </conditionalFormatting>
  <conditionalFormatting sqref="P14:U137">
    <cfRule type="expression" dxfId="16" priority="4">
      <formula>AND(P14=1,$AA14="Ahmed Hamdy")</formula>
    </cfRule>
    <cfRule type="expression" dxfId="15" priority="5">
      <formula>AND(P14=2,$AA14="Ahmed Hamdy")</formula>
    </cfRule>
    <cfRule type="expression" dxfId="14" priority="6">
      <formula>AND(P14=1,$AA14="Doha")</formula>
    </cfRule>
    <cfRule type="expression" dxfId="13" priority="7">
      <formula>AND(P14=2,$AA14="Doha")</formula>
    </cfRule>
    <cfRule type="expression" dxfId="12" priority="8">
      <formula>AND(P14=1,$AA14="Mohamed Essam")</formula>
    </cfRule>
    <cfRule type="expression" dxfId="11" priority="9">
      <formula>AND(P14=2,$AA14="Mohamed Essam")</formula>
    </cfRule>
    <cfRule type="expression" dxfId="10" priority="10">
      <formula>AND(P14=1,$AA14="Ext")</formula>
    </cfRule>
    <cfRule type="expression" dxfId="9" priority="11">
      <formula>AND(P14=2,$AA14="Ext")</formula>
    </cfRule>
  </conditionalFormatting>
  <conditionalFormatting sqref="P13:U13">
    <cfRule type="expression" dxfId="8" priority="12">
      <formula>AND($C$7&gt;=(COLUMN(P13)-16)*5+1,$C$7&lt;=(COLUMN(P13)-16+1)*5)</formula>
    </cfRule>
  </conditionalFormatting>
  <conditionalFormatting sqref="M14:M137">
    <cfRule type="expression" dxfId="7" priority="13">
      <formula>M14="Done"</formula>
    </cfRule>
    <cfRule type="expression" dxfId="6" priority="14">
      <formula>M14="Late"</formula>
    </cfRule>
    <cfRule type="expression" dxfId="5" priority="15">
      <formula>M14="Blocked"</formula>
    </cfRule>
    <cfRule type="expression" dxfId="4" priority="16">
      <formula>M14="Check"</formula>
    </cfRule>
  </conditionalFormatting>
  <conditionalFormatting sqref="J14:J137">
    <cfRule type="expression" dxfId="3" priority="17">
      <formula>J14="Blocked"</formula>
    </cfRule>
    <cfRule type="expression" dxfId="2" priority="18">
      <formula>J14="Done"</formula>
    </cfRule>
  </conditionalFormatting>
  <dataValidations count="4">
    <dataValidation type="list" sqref="J15:J18 J21:J25 J27:J30 J32:J34 J36:J38 J40:J42 J44:J46 J48:J49 J51:J54 J56:J58 J61:J64 J66:J67 J69:J72 J74:J76 J78:J80 J82 J84:J86 J88 J90:J91 J94:J96 J98:J99 J101 J103:J107 J109:J110 J112:J114 J116:J119 J121:J122 J124:J125 J127:J133 J135:J137" xr:uid="{00000000-0002-0000-0000-000000000000}">
      <formula1>"Not started,In progress,Blocked,Done"</formula1>
      <formula2>0</formula2>
    </dataValidation>
    <dataValidation type="decimal" sqref="K15:K18 K135:K137 K27:K30 K32:K34 K36:K38 K40:K42 K44:K46 K48:K49 K51:K54 K56:K58 K61:K64 K66:K67 K69:K72 K74:K76 K78:K80 K82 K84:K86 K88 K90:K91 K94:K96 K98:K99 K101 K103:K107 K109:K110 K112:K114 K116:K119 K121:K122 K124:K125 K127:K133 K21:K25" xr:uid="{00000000-0002-0000-0000-000001000000}">
      <formula1>0</formula1>
      <formula2>1</formula2>
    </dataValidation>
    <dataValidation type="decimal" sqref="D21:D25 D27:D30 D32:D34 D36:D38 D40:D42 D44:D46 D48:D49 D51:D54 D56:D58 D61:D64 D66:D67 D69:D72 D74:D76 D78:D80 D82 D84:D86 D88 D90:D91 D94:D96 D98:D99 D101 D103:D107 D109:D110 D112:D114 D116:D119 D121:D122 D124:D125" xr:uid="{00000000-0002-0000-0000-000002000000}">
      <formula1>0</formula1>
      <formula2>80</formula2>
    </dataValidation>
    <dataValidation type="whole" sqref="E15:E18 E127:E133 E135:E137" xr:uid="{00000000-0002-0000-0000-000003000000}">
      <formula1>1</formula1>
      <formula2>30</formula2>
    </dataValidation>
  </dataValidations>
  <pageMargins left="0.75" right="0.75" top="1" bottom="1" header="0.511811023622047" footer="0.511811023622047"/>
  <pageSetup paperSize="8" scale="57" fitToHeight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92"/>
  <sheetViews>
    <sheetView showGridLines="0" zoomScale="110" zoomScaleNormal="110" workbookViewId="0">
      <pane xSplit="6" ySplit="7" topLeftCell="G95" activePane="bottomRight" state="frozen"/>
      <selection pane="topRight" activeCell="G1" sqref="G1"/>
      <selection pane="bottomLeft" activeCell="A8" sqref="A8"/>
      <selection pane="bottomRight" activeCell="G106" sqref="G106"/>
    </sheetView>
  </sheetViews>
  <sheetFormatPr defaultColWidth="63.28515625" defaultRowHeight="15" x14ac:dyDescent="0.25"/>
  <cols>
    <col min="1" max="1" width="19.42578125" bestFit="1" customWidth="1"/>
    <col min="2" max="2" width="12" bestFit="1" customWidth="1"/>
    <col min="3" max="3" width="63.5703125" bestFit="1" customWidth="1"/>
    <col min="4" max="4" width="14.5703125" bestFit="1" customWidth="1"/>
    <col min="5" max="5" width="49.42578125" bestFit="1" customWidth="1"/>
    <col min="6" max="6" width="7.140625" bestFit="1" customWidth="1"/>
    <col min="7" max="7" width="62" bestFit="1" customWidth="1"/>
    <col min="8" max="8" width="30.42578125" bestFit="1" customWidth="1"/>
    <col min="9" max="9" width="11.28515625" bestFit="1" customWidth="1"/>
    <col min="10" max="10" width="15" bestFit="1" customWidth="1"/>
    <col min="11" max="11" width="10" bestFit="1" customWidth="1"/>
    <col min="12" max="12" width="13.85546875" bestFit="1" customWidth="1"/>
  </cols>
  <sheetData>
    <row r="1" spans="1:12" ht="23.25" x14ac:dyDescent="0.25">
      <c r="A1" s="7" t="s">
        <v>364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6" t="s">
        <v>365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15.75" x14ac:dyDescent="0.25">
      <c r="A5" s="5" t="s">
        <v>366</v>
      </c>
      <c r="B5" s="5"/>
      <c r="C5" s="76" t="str">
        <f>COUNTIF($I$8:$I$400,"Yes")&amp;" of "&amp;COUNTA($G$8:$G$400)</f>
        <v>0 of 179</v>
      </c>
      <c r="D5" s="5" t="s">
        <v>367</v>
      </c>
      <c r="E5" s="5"/>
      <c r="F5" s="77">
        <f>IFERROR(COUNTIF($I$8:$I$400,"Yes")/COUNTA($G$8:$G$400),0)</f>
        <v>0</v>
      </c>
    </row>
    <row r="7" spans="1:12" x14ac:dyDescent="0.25">
      <c r="A7" s="10" t="s">
        <v>24</v>
      </c>
      <c r="B7" s="10" t="s">
        <v>368</v>
      </c>
      <c r="C7" s="10" t="s">
        <v>369</v>
      </c>
      <c r="D7" s="10" t="s">
        <v>370</v>
      </c>
      <c r="E7" s="10" t="s">
        <v>371</v>
      </c>
      <c r="F7" s="10" t="s">
        <v>372</v>
      </c>
      <c r="G7" s="10" t="s">
        <v>373</v>
      </c>
      <c r="H7" s="10" t="s">
        <v>374</v>
      </c>
      <c r="I7" s="25" t="s">
        <v>375</v>
      </c>
      <c r="J7" s="25" t="s">
        <v>376</v>
      </c>
      <c r="K7" s="25" t="s">
        <v>377</v>
      </c>
      <c r="L7" s="25" t="s">
        <v>378</v>
      </c>
    </row>
    <row r="8" spans="1:12" x14ac:dyDescent="0.25">
      <c r="A8" s="3" t="s">
        <v>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78" t="s">
        <v>51</v>
      </c>
      <c r="B9" s="79" t="s">
        <v>49</v>
      </c>
      <c r="C9" s="80" t="s">
        <v>50</v>
      </c>
      <c r="D9" s="79" t="s">
        <v>49</v>
      </c>
      <c r="E9" s="80" t="s">
        <v>18</v>
      </c>
      <c r="F9" s="81">
        <v>1</v>
      </c>
      <c r="G9" s="80" t="s">
        <v>379</v>
      </c>
      <c r="H9" s="80" t="s">
        <v>380</v>
      </c>
      <c r="I9" s="82" t="s">
        <v>381</v>
      </c>
      <c r="J9" s="83"/>
      <c r="K9" s="84"/>
      <c r="L9" s="85"/>
    </row>
    <row r="10" spans="1:12" x14ac:dyDescent="0.25">
      <c r="A10" s="86" t="s">
        <v>51</v>
      </c>
      <c r="B10" s="47" t="s">
        <v>49</v>
      </c>
      <c r="C10" s="48"/>
      <c r="D10" s="47" t="s">
        <v>49</v>
      </c>
      <c r="E10" s="48"/>
      <c r="F10" s="47">
        <v>2</v>
      </c>
      <c r="G10" s="48" t="s">
        <v>382</v>
      </c>
      <c r="H10" s="48" t="s">
        <v>383</v>
      </c>
      <c r="I10" s="87" t="s">
        <v>381</v>
      </c>
      <c r="J10" s="88"/>
      <c r="K10" s="89"/>
      <c r="L10" s="54"/>
    </row>
    <row r="11" spans="1:12" x14ac:dyDescent="0.25">
      <c r="A11" s="86" t="s">
        <v>51</v>
      </c>
      <c r="B11" s="47" t="s">
        <v>49</v>
      </c>
      <c r="C11" s="48"/>
      <c r="D11" s="47" t="s">
        <v>49</v>
      </c>
      <c r="E11" s="48"/>
      <c r="F11" s="47">
        <v>3</v>
      </c>
      <c r="G11" s="48" t="s">
        <v>384</v>
      </c>
      <c r="H11" s="48" t="s">
        <v>385</v>
      </c>
      <c r="I11" s="87" t="s">
        <v>381</v>
      </c>
      <c r="J11" s="88"/>
      <c r="K11" s="89"/>
      <c r="L11" s="54"/>
    </row>
    <row r="12" spans="1:12" x14ac:dyDescent="0.25">
      <c r="A12" s="78" t="s">
        <v>59</v>
      </c>
      <c r="B12" s="79" t="s">
        <v>57</v>
      </c>
      <c r="C12" s="80" t="s">
        <v>58</v>
      </c>
      <c r="D12" s="79" t="s">
        <v>57</v>
      </c>
      <c r="E12" s="80" t="s">
        <v>18</v>
      </c>
      <c r="F12" s="81">
        <v>1</v>
      </c>
      <c r="G12" s="80" t="s">
        <v>386</v>
      </c>
      <c r="H12" s="80" t="s">
        <v>387</v>
      </c>
      <c r="I12" s="82" t="s">
        <v>381</v>
      </c>
      <c r="J12" s="83"/>
      <c r="K12" s="84"/>
      <c r="L12" s="85"/>
    </row>
    <row r="13" spans="1:12" x14ac:dyDescent="0.25">
      <c r="A13" s="86" t="s">
        <v>59</v>
      </c>
      <c r="B13" s="47" t="s">
        <v>57</v>
      </c>
      <c r="C13" s="48"/>
      <c r="D13" s="47" t="s">
        <v>57</v>
      </c>
      <c r="E13" s="48"/>
      <c r="F13" s="47">
        <v>2</v>
      </c>
      <c r="G13" s="48" t="s">
        <v>388</v>
      </c>
      <c r="H13" s="48" t="s">
        <v>389</v>
      </c>
      <c r="I13" s="87" t="s">
        <v>381</v>
      </c>
      <c r="J13" s="88"/>
      <c r="K13" s="89"/>
      <c r="L13" s="54"/>
    </row>
    <row r="14" spans="1:12" x14ac:dyDescent="0.25">
      <c r="A14" s="86" t="s">
        <v>59</v>
      </c>
      <c r="B14" s="47" t="s">
        <v>57</v>
      </c>
      <c r="C14" s="48"/>
      <c r="D14" s="47" t="s">
        <v>57</v>
      </c>
      <c r="E14" s="48"/>
      <c r="F14" s="47">
        <v>3</v>
      </c>
      <c r="G14" s="48" t="s">
        <v>390</v>
      </c>
      <c r="H14" s="48" t="s">
        <v>391</v>
      </c>
      <c r="I14" s="87" t="s">
        <v>381</v>
      </c>
      <c r="J14" s="88"/>
      <c r="K14" s="89"/>
      <c r="L14" s="54"/>
    </row>
    <row r="15" spans="1:12" x14ac:dyDescent="0.25">
      <c r="A15" s="78" t="s">
        <v>51</v>
      </c>
      <c r="B15" s="79" t="s">
        <v>61</v>
      </c>
      <c r="C15" s="80" t="s">
        <v>62</v>
      </c>
      <c r="D15" s="79" t="s">
        <v>61</v>
      </c>
      <c r="E15" s="80" t="s">
        <v>18</v>
      </c>
      <c r="F15" s="81">
        <v>1</v>
      </c>
      <c r="G15" s="80" t="s">
        <v>392</v>
      </c>
      <c r="H15" s="80" t="s">
        <v>393</v>
      </c>
      <c r="I15" s="82" t="s">
        <v>381</v>
      </c>
      <c r="J15" s="83"/>
      <c r="K15" s="84"/>
      <c r="L15" s="85"/>
    </row>
    <row r="16" spans="1:12" x14ac:dyDescent="0.25">
      <c r="A16" s="86" t="s">
        <v>51</v>
      </c>
      <c r="B16" s="47" t="s">
        <v>61</v>
      </c>
      <c r="C16" s="48"/>
      <c r="D16" s="47" t="s">
        <v>61</v>
      </c>
      <c r="E16" s="48"/>
      <c r="F16" s="47">
        <v>2</v>
      </c>
      <c r="G16" s="48" t="s">
        <v>394</v>
      </c>
      <c r="H16" s="48" t="s">
        <v>393</v>
      </c>
      <c r="I16" s="87" t="s">
        <v>381</v>
      </c>
      <c r="J16" s="88"/>
      <c r="K16" s="89"/>
      <c r="L16" s="54"/>
    </row>
    <row r="17" spans="1:12" x14ac:dyDescent="0.25">
      <c r="A17" s="86" t="s">
        <v>51</v>
      </c>
      <c r="B17" s="47" t="s">
        <v>61</v>
      </c>
      <c r="C17" s="48"/>
      <c r="D17" s="47" t="s">
        <v>61</v>
      </c>
      <c r="E17" s="48"/>
      <c r="F17" s="47">
        <v>3</v>
      </c>
      <c r="G17" s="48" t="s">
        <v>395</v>
      </c>
      <c r="H17" s="48" t="s">
        <v>396</v>
      </c>
      <c r="I17" s="87" t="s">
        <v>381</v>
      </c>
      <c r="J17" s="88"/>
      <c r="K17" s="89"/>
      <c r="L17" s="54"/>
    </row>
    <row r="18" spans="1:12" x14ac:dyDescent="0.25">
      <c r="A18" s="78" t="s">
        <v>66</v>
      </c>
      <c r="B18" s="79" t="s">
        <v>64</v>
      </c>
      <c r="C18" s="80" t="s">
        <v>65</v>
      </c>
      <c r="D18" s="79" t="s">
        <v>64</v>
      </c>
      <c r="E18" s="80" t="s">
        <v>18</v>
      </c>
      <c r="F18" s="81">
        <v>1</v>
      </c>
      <c r="G18" s="80" t="s">
        <v>397</v>
      </c>
      <c r="H18" s="80" t="s">
        <v>398</v>
      </c>
      <c r="I18" s="82" t="s">
        <v>381</v>
      </c>
      <c r="J18" s="83"/>
      <c r="K18" s="84"/>
      <c r="L18" s="85"/>
    </row>
    <row r="19" spans="1:12" x14ac:dyDescent="0.25">
      <c r="A19" s="86" t="s">
        <v>66</v>
      </c>
      <c r="B19" s="47" t="s">
        <v>64</v>
      </c>
      <c r="C19" s="48"/>
      <c r="D19" s="47" t="s">
        <v>64</v>
      </c>
      <c r="E19" s="48"/>
      <c r="F19" s="47">
        <v>2</v>
      </c>
      <c r="G19" s="48" t="s">
        <v>399</v>
      </c>
      <c r="H19" s="48" t="s">
        <v>400</v>
      </c>
      <c r="I19" s="87" t="s">
        <v>381</v>
      </c>
      <c r="J19" s="88"/>
      <c r="K19" s="89"/>
      <c r="L19" s="54"/>
    </row>
    <row r="20" spans="1:12" x14ac:dyDescent="0.25">
      <c r="A20" s="86" t="s">
        <v>66</v>
      </c>
      <c r="B20" s="47" t="s">
        <v>64</v>
      </c>
      <c r="C20" s="48"/>
      <c r="D20" s="47" t="s">
        <v>64</v>
      </c>
      <c r="E20" s="48"/>
      <c r="F20" s="47">
        <v>3</v>
      </c>
      <c r="G20" s="48" t="s">
        <v>401</v>
      </c>
      <c r="H20" s="48" t="s">
        <v>402</v>
      </c>
      <c r="I20" s="87" t="s">
        <v>381</v>
      </c>
      <c r="J20" s="88"/>
      <c r="K20" s="89"/>
      <c r="L20" s="54"/>
    </row>
    <row r="21" spans="1:12" x14ac:dyDescent="0.25">
      <c r="A21" s="3" t="s">
        <v>69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5.5" x14ac:dyDescent="0.25">
      <c r="A22" s="90" t="s">
        <v>11</v>
      </c>
      <c r="B22" s="79" t="s">
        <v>70</v>
      </c>
      <c r="C22" s="80" t="s">
        <v>71</v>
      </c>
      <c r="D22" s="79" t="s">
        <v>73</v>
      </c>
      <c r="E22" s="80" t="s">
        <v>403</v>
      </c>
      <c r="F22" s="81">
        <v>1</v>
      </c>
      <c r="G22" s="80" t="s">
        <v>404</v>
      </c>
      <c r="H22" s="80" t="s">
        <v>405</v>
      </c>
      <c r="I22" s="82" t="s">
        <v>381</v>
      </c>
      <c r="J22" s="83"/>
      <c r="K22" s="84"/>
      <c r="L22" s="85"/>
    </row>
    <row r="23" spans="1:12" x14ac:dyDescent="0.25">
      <c r="A23" s="91" t="s">
        <v>11</v>
      </c>
      <c r="B23" s="47" t="s">
        <v>70</v>
      </c>
      <c r="C23" s="48"/>
      <c r="D23" s="47" t="s">
        <v>73</v>
      </c>
      <c r="E23" s="48"/>
      <c r="F23" s="47">
        <v>2</v>
      </c>
      <c r="G23" s="48" t="s">
        <v>406</v>
      </c>
      <c r="H23" s="48" t="s">
        <v>407</v>
      </c>
      <c r="I23" s="87" t="s">
        <v>381</v>
      </c>
      <c r="J23" s="88"/>
      <c r="K23" s="89"/>
      <c r="L23" s="54"/>
    </row>
    <row r="24" spans="1:12" x14ac:dyDescent="0.25">
      <c r="A24" s="91" t="s">
        <v>11</v>
      </c>
      <c r="B24" s="47" t="s">
        <v>70</v>
      </c>
      <c r="C24" s="48"/>
      <c r="D24" s="47" t="s">
        <v>73</v>
      </c>
      <c r="E24" s="48"/>
      <c r="F24" s="47">
        <v>3</v>
      </c>
      <c r="G24" s="48" t="s">
        <v>408</v>
      </c>
      <c r="H24" s="48" t="s">
        <v>409</v>
      </c>
      <c r="I24" s="87" t="s">
        <v>381</v>
      </c>
      <c r="J24" s="88"/>
      <c r="K24" s="89"/>
      <c r="L24" s="54"/>
    </row>
    <row r="25" spans="1:12" x14ac:dyDescent="0.25">
      <c r="A25" s="90" t="s">
        <v>11</v>
      </c>
      <c r="B25" s="79" t="s">
        <v>70</v>
      </c>
      <c r="C25" s="80"/>
      <c r="D25" s="79" t="s">
        <v>76</v>
      </c>
      <c r="E25" s="80" t="s">
        <v>410</v>
      </c>
      <c r="F25" s="81">
        <v>1</v>
      </c>
      <c r="G25" s="80" t="s">
        <v>411</v>
      </c>
      <c r="H25" s="80" t="s">
        <v>412</v>
      </c>
      <c r="I25" s="82" t="s">
        <v>381</v>
      </c>
      <c r="J25" s="83"/>
      <c r="K25" s="84"/>
      <c r="L25" s="85"/>
    </row>
    <row r="26" spans="1:12" x14ac:dyDescent="0.25">
      <c r="A26" s="91" t="s">
        <v>11</v>
      </c>
      <c r="B26" s="47" t="s">
        <v>70</v>
      </c>
      <c r="C26" s="48"/>
      <c r="D26" s="47" t="s">
        <v>76</v>
      </c>
      <c r="E26" s="48"/>
      <c r="F26" s="47">
        <v>2</v>
      </c>
      <c r="G26" s="48" t="s">
        <v>413</v>
      </c>
      <c r="H26" s="48" t="s">
        <v>414</v>
      </c>
      <c r="I26" s="87" t="s">
        <v>381</v>
      </c>
      <c r="J26" s="88"/>
      <c r="K26" s="89"/>
      <c r="L26" s="54"/>
    </row>
    <row r="27" spans="1:12" x14ac:dyDescent="0.25">
      <c r="A27" s="90" t="s">
        <v>11</v>
      </c>
      <c r="B27" s="79" t="s">
        <v>70</v>
      </c>
      <c r="C27" s="80"/>
      <c r="D27" s="79" t="s">
        <v>78</v>
      </c>
      <c r="E27" s="80" t="s">
        <v>415</v>
      </c>
      <c r="F27" s="81">
        <v>1</v>
      </c>
      <c r="G27" s="80" t="s">
        <v>416</v>
      </c>
      <c r="H27" s="80" t="s">
        <v>417</v>
      </c>
      <c r="I27" s="82" t="s">
        <v>381</v>
      </c>
      <c r="J27" s="83"/>
      <c r="K27" s="84"/>
      <c r="L27" s="85"/>
    </row>
    <row r="28" spans="1:12" x14ac:dyDescent="0.25">
      <c r="A28" s="91" t="s">
        <v>11</v>
      </c>
      <c r="B28" s="47" t="s">
        <v>70</v>
      </c>
      <c r="C28" s="48"/>
      <c r="D28" s="47" t="s">
        <v>78</v>
      </c>
      <c r="E28" s="48"/>
      <c r="F28" s="47">
        <v>2</v>
      </c>
      <c r="G28" s="48" t="s">
        <v>418</v>
      </c>
      <c r="H28" s="48" t="s">
        <v>419</v>
      </c>
      <c r="I28" s="87" t="s">
        <v>381</v>
      </c>
      <c r="J28" s="88"/>
      <c r="K28" s="89"/>
      <c r="L28" s="54"/>
    </row>
    <row r="29" spans="1:12" x14ac:dyDescent="0.25">
      <c r="A29" s="91" t="s">
        <v>11</v>
      </c>
      <c r="B29" s="47" t="s">
        <v>70</v>
      </c>
      <c r="C29" s="48"/>
      <c r="D29" s="47" t="s">
        <v>78</v>
      </c>
      <c r="E29" s="48"/>
      <c r="F29" s="47">
        <v>3</v>
      </c>
      <c r="G29" s="48" t="s">
        <v>420</v>
      </c>
      <c r="H29" s="48" t="s">
        <v>412</v>
      </c>
      <c r="I29" s="87" t="s">
        <v>381</v>
      </c>
      <c r="J29" s="88"/>
      <c r="K29" s="89"/>
      <c r="L29" s="54"/>
    </row>
    <row r="30" spans="1:12" x14ac:dyDescent="0.25">
      <c r="A30" s="90" t="s">
        <v>11</v>
      </c>
      <c r="B30" s="79" t="s">
        <v>70</v>
      </c>
      <c r="C30" s="80"/>
      <c r="D30" s="79" t="s">
        <v>80</v>
      </c>
      <c r="E30" s="80" t="s">
        <v>421</v>
      </c>
      <c r="F30" s="81">
        <v>1</v>
      </c>
      <c r="G30" s="80" t="s">
        <v>422</v>
      </c>
      <c r="H30" s="80" t="s">
        <v>423</v>
      </c>
      <c r="I30" s="82" t="s">
        <v>381</v>
      </c>
      <c r="J30" s="83"/>
      <c r="K30" s="84"/>
      <c r="L30" s="85"/>
    </row>
    <row r="31" spans="1:12" x14ac:dyDescent="0.25">
      <c r="A31" s="91" t="s">
        <v>11</v>
      </c>
      <c r="B31" s="47" t="s">
        <v>70</v>
      </c>
      <c r="C31" s="48"/>
      <c r="D31" s="47" t="s">
        <v>80</v>
      </c>
      <c r="E31" s="48"/>
      <c r="F31" s="47">
        <v>2</v>
      </c>
      <c r="G31" s="48" t="s">
        <v>424</v>
      </c>
      <c r="H31" s="48" t="s">
        <v>425</v>
      </c>
      <c r="I31" s="87" t="s">
        <v>381</v>
      </c>
      <c r="J31" s="88"/>
      <c r="K31" s="89"/>
      <c r="L31" s="54"/>
    </row>
    <row r="32" spans="1:12" x14ac:dyDescent="0.25">
      <c r="A32" s="90" t="s">
        <v>11</v>
      </c>
      <c r="B32" s="79" t="s">
        <v>70</v>
      </c>
      <c r="C32" s="80"/>
      <c r="D32" s="79" t="s">
        <v>82</v>
      </c>
      <c r="E32" s="80" t="s">
        <v>426</v>
      </c>
      <c r="F32" s="81">
        <v>1</v>
      </c>
      <c r="G32" s="80" t="s">
        <v>427</v>
      </c>
      <c r="H32" s="80" t="s">
        <v>428</v>
      </c>
      <c r="I32" s="82" t="s">
        <v>381</v>
      </c>
      <c r="J32" s="83"/>
      <c r="K32" s="84"/>
      <c r="L32" s="85"/>
    </row>
    <row r="33" spans="1:12" x14ac:dyDescent="0.25">
      <c r="A33" s="91" t="s">
        <v>11</v>
      </c>
      <c r="B33" s="47" t="s">
        <v>70</v>
      </c>
      <c r="C33" s="48"/>
      <c r="D33" s="47" t="s">
        <v>82</v>
      </c>
      <c r="E33" s="48"/>
      <c r="F33" s="47">
        <v>2</v>
      </c>
      <c r="G33" s="48" t="s">
        <v>429</v>
      </c>
      <c r="H33" s="48" t="s">
        <v>430</v>
      </c>
      <c r="I33" s="87" t="s">
        <v>381</v>
      </c>
      <c r="J33" s="88"/>
      <c r="K33" s="89"/>
      <c r="L33" s="54"/>
    </row>
    <row r="34" spans="1:12" x14ac:dyDescent="0.25">
      <c r="A34" s="91" t="s">
        <v>11</v>
      </c>
      <c r="B34" s="47" t="s">
        <v>70</v>
      </c>
      <c r="C34" s="48"/>
      <c r="D34" s="47" t="s">
        <v>82</v>
      </c>
      <c r="E34" s="48"/>
      <c r="F34" s="47">
        <v>3</v>
      </c>
      <c r="G34" s="48" t="s">
        <v>431</v>
      </c>
      <c r="H34" s="48" t="s">
        <v>432</v>
      </c>
      <c r="I34" s="87" t="s">
        <v>381</v>
      </c>
      <c r="J34" s="88"/>
      <c r="K34" s="89"/>
      <c r="L34" s="54"/>
    </row>
    <row r="35" spans="1:12" ht="25.5" x14ac:dyDescent="0.25">
      <c r="A35" s="90" t="s">
        <v>11</v>
      </c>
      <c r="B35" s="79" t="s">
        <v>84</v>
      </c>
      <c r="C35" s="80" t="s">
        <v>85</v>
      </c>
      <c r="D35" s="79" t="s">
        <v>87</v>
      </c>
      <c r="E35" s="80" t="s">
        <v>433</v>
      </c>
      <c r="F35" s="81">
        <v>1</v>
      </c>
      <c r="G35" s="80" t="s">
        <v>434</v>
      </c>
      <c r="H35" s="80" t="s">
        <v>435</v>
      </c>
      <c r="I35" s="82" t="s">
        <v>381</v>
      </c>
      <c r="J35" s="83"/>
      <c r="K35" s="84"/>
      <c r="L35" s="85"/>
    </row>
    <row r="36" spans="1:12" x14ac:dyDescent="0.25">
      <c r="A36" s="91" t="s">
        <v>11</v>
      </c>
      <c r="B36" s="47" t="s">
        <v>84</v>
      </c>
      <c r="C36" s="48"/>
      <c r="D36" s="47" t="s">
        <v>87</v>
      </c>
      <c r="E36" s="48"/>
      <c r="F36" s="47">
        <v>2</v>
      </c>
      <c r="G36" s="48" t="s">
        <v>436</v>
      </c>
      <c r="H36" s="48" t="s">
        <v>437</v>
      </c>
      <c r="I36" s="87" t="s">
        <v>381</v>
      </c>
      <c r="J36" s="88"/>
      <c r="K36" s="89"/>
      <c r="L36" s="54"/>
    </row>
    <row r="37" spans="1:12" x14ac:dyDescent="0.25">
      <c r="A37" s="90" t="s">
        <v>11</v>
      </c>
      <c r="B37" s="79" t="s">
        <v>84</v>
      </c>
      <c r="C37" s="80"/>
      <c r="D37" s="79" t="s">
        <v>90</v>
      </c>
      <c r="E37" s="80" t="s">
        <v>438</v>
      </c>
      <c r="F37" s="81">
        <v>1</v>
      </c>
      <c r="G37" s="80" t="s">
        <v>439</v>
      </c>
      <c r="H37" s="80" t="s">
        <v>435</v>
      </c>
      <c r="I37" s="82" t="s">
        <v>381</v>
      </c>
      <c r="J37" s="83"/>
      <c r="K37" s="84"/>
      <c r="L37" s="85"/>
    </row>
    <row r="38" spans="1:12" x14ac:dyDescent="0.25">
      <c r="A38" s="91" t="s">
        <v>11</v>
      </c>
      <c r="B38" s="47" t="s">
        <v>84</v>
      </c>
      <c r="C38" s="48"/>
      <c r="D38" s="47" t="s">
        <v>90</v>
      </c>
      <c r="E38" s="48"/>
      <c r="F38" s="47">
        <v>2</v>
      </c>
      <c r="G38" s="48" t="s">
        <v>440</v>
      </c>
      <c r="H38" s="48" t="s">
        <v>441</v>
      </c>
      <c r="I38" s="87" t="s">
        <v>381</v>
      </c>
      <c r="J38" s="88"/>
      <c r="K38" s="89"/>
      <c r="L38" s="54"/>
    </row>
    <row r="39" spans="1:12" x14ac:dyDescent="0.25">
      <c r="A39" s="90" t="s">
        <v>11</v>
      </c>
      <c r="B39" s="79" t="s">
        <v>84</v>
      </c>
      <c r="C39" s="80"/>
      <c r="D39" s="79" t="s">
        <v>92</v>
      </c>
      <c r="E39" s="80" t="s">
        <v>442</v>
      </c>
      <c r="F39" s="81">
        <v>1</v>
      </c>
      <c r="G39" s="80" t="s">
        <v>443</v>
      </c>
      <c r="H39" s="80" t="s">
        <v>435</v>
      </c>
      <c r="I39" s="82" t="s">
        <v>381</v>
      </c>
      <c r="J39" s="83"/>
      <c r="K39" s="84"/>
      <c r="L39" s="85"/>
    </row>
    <row r="40" spans="1:12" x14ac:dyDescent="0.25">
      <c r="A40" s="91" t="s">
        <v>11</v>
      </c>
      <c r="B40" s="47" t="s">
        <v>84</v>
      </c>
      <c r="C40" s="48"/>
      <c r="D40" s="47" t="s">
        <v>92</v>
      </c>
      <c r="E40" s="48"/>
      <c r="F40" s="47">
        <v>2</v>
      </c>
      <c r="G40" s="48" t="s">
        <v>444</v>
      </c>
      <c r="H40" s="48" t="s">
        <v>445</v>
      </c>
      <c r="I40" s="87" t="s">
        <v>381</v>
      </c>
      <c r="J40" s="88"/>
      <c r="K40" s="89"/>
      <c r="L40" s="54"/>
    </row>
    <row r="41" spans="1:12" x14ac:dyDescent="0.25">
      <c r="A41" s="91" t="s">
        <v>11</v>
      </c>
      <c r="B41" s="47" t="s">
        <v>84</v>
      </c>
      <c r="C41" s="48"/>
      <c r="D41" s="47" t="s">
        <v>92</v>
      </c>
      <c r="E41" s="48"/>
      <c r="F41" s="47">
        <v>3</v>
      </c>
      <c r="G41" s="48" t="s">
        <v>446</v>
      </c>
      <c r="H41" s="48" t="s">
        <v>447</v>
      </c>
      <c r="I41" s="87" t="s">
        <v>381</v>
      </c>
      <c r="J41" s="88"/>
      <c r="K41" s="89"/>
      <c r="L41" s="54"/>
    </row>
    <row r="42" spans="1:12" x14ac:dyDescent="0.25">
      <c r="A42" s="90" t="s">
        <v>11</v>
      </c>
      <c r="B42" s="79" t="s">
        <v>84</v>
      </c>
      <c r="C42" s="80"/>
      <c r="D42" s="79" t="s">
        <v>94</v>
      </c>
      <c r="E42" s="80" t="s">
        <v>448</v>
      </c>
      <c r="F42" s="81">
        <v>1</v>
      </c>
      <c r="G42" s="80" t="s">
        <v>449</v>
      </c>
      <c r="H42" s="80" t="s">
        <v>450</v>
      </c>
      <c r="I42" s="82" t="s">
        <v>381</v>
      </c>
      <c r="J42" s="83"/>
      <c r="K42" s="84"/>
      <c r="L42" s="85"/>
    </row>
    <row r="43" spans="1:12" x14ac:dyDescent="0.25">
      <c r="A43" s="91" t="s">
        <v>11</v>
      </c>
      <c r="B43" s="47" t="s">
        <v>84</v>
      </c>
      <c r="C43" s="48"/>
      <c r="D43" s="47" t="s">
        <v>94</v>
      </c>
      <c r="E43" s="48"/>
      <c r="F43" s="47">
        <v>2</v>
      </c>
      <c r="G43" s="48" t="s">
        <v>451</v>
      </c>
      <c r="H43" s="48" t="s">
        <v>452</v>
      </c>
      <c r="I43" s="87" t="s">
        <v>381</v>
      </c>
      <c r="J43" s="88"/>
      <c r="K43" s="89"/>
      <c r="L43" s="54"/>
    </row>
    <row r="44" spans="1:12" ht="25.5" x14ac:dyDescent="0.25">
      <c r="A44" s="90" t="s">
        <v>11</v>
      </c>
      <c r="B44" s="79" t="s">
        <v>96</v>
      </c>
      <c r="C44" s="80" t="s">
        <v>97</v>
      </c>
      <c r="D44" s="79" t="s">
        <v>100</v>
      </c>
      <c r="E44" s="80" t="s">
        <v>453</v>
      </c>
      <c r="F44" s="81">
        <v>1</v>
      </c>
      <c r="G44" s="80" t="s">
        <v>454</v>
      </c>
      <c r="H44" s="80" t="s">
        <v>455</v>
      </c>
      <c r="I44" s="82" t="s">
        <v>381</v>
      </c>
      <c r="J44" s="83"/>
      <c r="K44" s="84"/>
      <c r="L44" s="85"/>
    </row>
    <row r="45" spans="1:12" x14ac:dyDescent="0.25">
      <c r="A45" s="91" t="s">
        <v>11</v>
      </c>
      <c r="B45" s="47" t="s">
        <v>96</v>
      </c>
      <c r="C45" s="48"/>
      <c r="D45" s="47" t="s">
        <v>100</v>
      </c>
      <c r="E45" s="48"/>
      <c r="F45" s="47">
        <v>2</v>
      </c>
      <c r="G45" s="48" t="s">
        <v>456</v>
      </c>
      <c r="H45" s="48" t="s">
        <v>457</v>
      </c>
      <c r="I45" s="87" t="s">
        <v>381</v>
      </c>
      <c r="J45" s="88"/>
      <c r="K45" s="89"/>
      <c r="L45" s="54"/>
    </row>
    <row r="46" spans="1:12" x14ac:dyDescent="0.25">
      <c r="A46" s="90" t="s">
        <v>11</v>
      </c>
      <c r="B46" s="79" t="s">
        <v>96</v>
      </c>
      <c r="C46" s="80"/>
      <c r="D46" s="79" t="s">
        <v>102</v>
      </c>
      <c r="E46" s="80" t="s">
        <v>458</v>
      </c>
      <c r="F46" s="81">
        <v>1</v>
      </c>
      <c r="G46" s="80" t="s">
        <v>459</v>
      </c>
      <c r="H46" s="80" t="s">
        <v>460</v>
      </c>
      <c r="I46" s="82" t="s">
        <v>381</v>
      </c>
      <c r="J46" s="83"/>
      <c r="K46" s="84"/>
      <c r="L46" s="85"/>
    </row>
    <row r="47" spans="1:12" x14ac:dyDescent="0.25">
      <c r="A47" s="91" t="s">
        <v>11</v>
      </c>
      <c r="B47" s="47" t="s">
        <v>96</v>
      </c>
      <c r="C47" s="48"/>
      <c r="D47" s="47" t="s">
        <v>102</v>
      </c>
      <c r="E47" s="48"/>
      <c r="F47" s="47">
        <v>2</v>
      </c>
      <c r="G47" s="48" t="s">
        <v>461</v>
      </c>
      <c r="H47" s="48" t="s">
        <v>462</v>
      </c>
      <c r="I47" s="87" t="s">
        <v>381</v>
      </c>
      <c r="J47" s="88"/>
      <c r="K47" s="89"/>
      <c r="L47" s="54"/>
    </row>
    <row r="48" spans="1:12" x14ac:dyDescent="0.25">
      <c r="A48" s="90" t="s">
        <v>11</v>
      </c>
      <c r="B48" s="79" t="s">
        <v>96</v>
      </c>
      <c r="C48" s="80"/>
      <c r="D48" s="79" t="s">
        <v>104</v>
      </c>
      <c r="E48" s="80" t="s">
        <v>463</v>
      </c>
      <c r="F48" s="81">
        <v>1</v>
      </c>
      <c r="G48" s="80" t="s">
        <v>464</v>
      </c>
      <c r="H48" s="80" t="s">
        <v>465</v>
      </c>
      <c r="I48" s="82" t="s">
        <v>381</v>
      </c>
      <c r="J48" s="83"/>
      <c r="K48" s="84"/>
      <c r="L48" s="85"/>
    </row>
    <row r="49" spans="1:12" x14ac:dyDescent="0.25">
      <c r="A49" s="91" t="s">
        <v>11</v>
      </c>
      <c r="B49" s="47" t="s">
        <v>96</v>
      </c>
      <c r="C49" s="48"/>
      <c r="D49" s="47" t="s">
        <v>104</v>
      </c>
      <c r="E49" s="48"/>
      <c r="F49" s="47">
        <v>2</v>
      </c>
      <c r="G49" s="48" t="s">
        <v>466</v>
      </c>
      <c r="H49" s="48" t="s">
        <v>467</v>
      </c>
      <c r="I49" s="87" t="s">
        <v>381</v>
      </c>
      <c r="J49" s="88"/>
      <c r="K49" s="89"/>
      <c r="L49" s="54"/>
    </row>
    <row r="50" spans="1:12" ht="25.5" x14ac:dyDescent="0.25">
      <c r="A50" s="90" t="s">
        <v>11</v>
      </c>
      <c r="B50" s="79" t="s">
        <v>106</v>
      </c>
      <c r="C50" s="80" t="s">
        <v>107</v>
      </c>
      <c r="D50" s="79" t="s">
        <v>112</v>
      </c>
      <c r="E50" s="80" t="s">
        <v>468</v>
      </c>
      <c r="F50" s="81">
        <v>1</v>
      </c>
      <c r="G50" s="80" t="s">
        <v>469</v>
      </c>
      <c r="H50" s="80" t="s">
        <v>470</v>
      </c>
      <c r="I50" s="82" t="s">
        <v>381</v>
      </c>
      <c r="J50" s="83"/>
      <c r="K50" s="84"/>
      <c r="L50" s="85"/>
    </row>
    <row r="51" spans="1:12" x14ac:dyDescent="0.25">
      <c r="A51" s="91" t="s">
        <v>11</v>
      </c>
      <c r="B51" s="47" t="s">
        <v>106</v>
      </c>
      <c r="C51" s="48"/>
      <c r="D51" s="47" t="s">
        <v>112</v>
      </c>
      <c r="E51" s="48"/>
      <c r="F51" s="47">
        <v>2</v>
      </c>
      <c r="G51" s="48" t="s">
        <v>471</v>
      </c>
      <c r="H51" s="48" t="s">
        <v>409</v>
      </c>
      <c r="I51" s="87" t="s">
        <v>381</v>
      </c>
      <c r="J51" s="88"/>
      <c r="K51" s="89"/>
      <c r="L51" s="54"/>
    </row>
    <row r="52" spans="1:12" x14ac:dyDescent="0.25">
      <c r="A52" s="90" t="s">
        <v>11</v>
      </c>
      <c r="B52" s="79" t="s">
        <v>106</v>
      </c>
      <c r="C52" s="80"/>
      <c r="D52" s="79" t="s">
        <v>114</v>
      </c>
      <c r="E52" s="80" t="s">
        <v>472</v>
      </c>
      <c r="F52" s="81">
        <v>1</v>
      </c>
      <c r="G52" s="80" t="s">
        <v>473</v>
      </c>
      <c r="H52" s="80" t="s">
        <v>419</v>
      </c>
      <c r="I52" s="82" t="s">
        <v>381</v>
      </c>
      <c r="J52" s="83"/>
      <c r="K52" s="84"/>
      <c r="L52" s="85"/>
    </row>
    <row r="53" spans="1:12" x14ac:dyDescent="0.25">
      <c r="A53" s="91" t="s">
        <v>11</v>
      </c>
      <c r="B53" s="47" t="s">
        <v>106</v>
      </c>
      <c r="C53" s="48"/>
      <c r="D53" s="47" t="s">
        <v>114</v>
      </c>
      <c r="E53" s="48"/>
      <c r="F53" s="47">
        <v>2</v>
      </c>
      <c r="G53" s="48" t="s">
        <v>474</v>
      </c>
      <c r="H53" s="48" t="s">
        <v>475</v>
      </c>
      <c r="I53" s="87" t="s">
        <v>381</v>
      </c>
      <c r="J53" s="88"/>
      <c r="K53" s="89"/>
      <c r="L53" s="54"/>
    </row>
    <row r="54" spans="1:12" x14ac:dyDescent="0.25">
      <c r="A54" s="90" t="s">
        <v>11</v>
      </c>
      <c r="B54" s="79" t="s">
        <v>106</v>
      </c>
      <c r="C54" s="80"/>
      <c r="D54" s="79" t="s">
        <v>116</v>
      </c>
      <c r="E54" s="80" t="s">
        <v>476</v>
      </c>
      <c r="F54" s="81">
        <v>1</v>
      </c>
      <c r="G54" s="80" t="s">
        <v>477</v>
      </c>
      <c r="H54" s="80" t="s">
        <v>478</v>
      </c>
      <c r="I54" s="82" t="s">
        <v>381</v>
      </c>
      <c r="J54" s="83"/>
      <c r="K54" s="84"/>
      <c r="L54" s="85"/>
    </row>
    <row r="55" spans="1:12" x14ac:dyDescent="0.25">
      <c r="A55" s="91" t="s">
        <v>11</v>
      </c>
      <c r="B55" s="47" t="s">
        <v>106</v>
      </c>
      <c r="C55" s="48"/>
      <c r="D55" s="47" t="s">
        <v>116</v>
      </c>
      <c r="E55" s="48"/>
      <c r="F55" s="47">
        <v>2</v>
      </c>
      <c r="G55" s="48" t="s">
        <v>479</v>
      </c>
      <c r="H55" s="48" t="s">
        <v>409</v>
      </c>
      <c r="I55" s="87" t="s">
        <v>381</v>
      </c>
      <c r="J55" s="88"/>
      <c r="K55" s="89"/>
      <c r="L55" s="54"/>
    </row>
    <row r="56" spans="1:12" x14ac:dyDescent="0.25">
      <c r="A56" s="90" t="s">
        <v>11</v>
      </c>
      <c r="B56" s="79" t="s">
        <v>118</v>
      </c>
      <c r="C56" s="80" t="s">
        <v>119</v>
      </c>
      <c r="D56" s="79" t="s">
        <v>121</v>
      </c>
      <c r="E56" s="80" t="s">
        <v>480</v>
      </c>
      <c r="F56" s="81">
        <v>1</v>
      </c>
      <c r="G56" s="80" t="s">
        <v>481</v>
      </c>
      <c r="H56" s="80" t="s">
        <v>482</v>
      </c>
      <c r="I56" s="82" t="s">
        <v>381</v>
      </c>
      <c r="J56" s="83"/>
      <c r="K56" s="84"/>
      <c r="L56" s="85"/>
    </row>
    <row r="57" spans="1:12" x14ac:dyDescent="0.25">
      <c r="A57" s="91" t="s">
        <v>11</v>
      </c>
      <c r="B57" s="47" t="s">
        <v>118</v>
      </c>
      <c r="C57" s="48"/>
      <c r="D57" s="47" t="s">
        <v>121</v>
      </c>
      <c r="E57" s="48"/>
      <c r="F57" s="47">
        <v>2</v>
      </c>
      <c r="G57" s="48" t="s">
        <v>483</v>
      </c>
      <c r="H57" s="48" t="s">
        <v>484</v>
      </c>
      <c r="I57" s="87" t="s">
        <v>381</v>
      </c>
      <c r="J57" s="88"/>
      <c r="K57" s="89"/>
      <c r="L57" s="54"/>
    </row>
    <row r="58" spans="1:12" x14ac:dyDescent="0.25">
      <c r="A58" s="90" t="s">
        <v>11</v>
      </c>
      <c r="B58" s="79" t="s">
        <v>118</v>
      </c>
      <c r="C58" s="80"/>
      <c r="D58" s="79" t="s">
        <v>123</v>
      </c>
      <c r="E58" s="80" t="s">
        <v>485</v>
      </c>
      <c r="F58" s="81">
        <v>1</v>
      </c>
      <c r="G58" s="80" t="s">
        <v>486</v>
      </c>
      <c r="H58" s="80" t="s">
        <v>487</v>
      </c>
      <c r="I58" s="82" t="s">
        <v>381</v>
      </c>
      <c r="J58" s="83"/>
      <c r="K58" s="84"/>
      <c r="L58" s="85"/>
    </row>
    <row r="59" spans="1:12" x14ac:dyDescent="0.25">
      <c r="A59" s="91" t="s">
        <v>11</v>
      </c>
      <c r="B59" s="47" t="s">
        <v>118</v>
      </c>
      <c r="C59" s="48"/>
      <c r="D59" s="47" t="s">
        <v>123</v>
      </c>
      <c r="E59" s="48"/>
      <c r="F59" s="47">
        <v>2</v>
      </c>
      <c r="G59" s="48" t="s">
        <v>488</v>
      </c>
      <c r="H59" s="48" t="s">
        <v>489</v>
      </c>
      <c r="I59" s="87" t="s">
        <v>381</v>
      </c>
      <c r="J59" s="88"/>
      <c r="K59" s="89"/>
      <c r="L59" s="54"/>
    </row>
    <row r="60" spans="1:12" x14ac:dyDescent="0.25">
      <c r="A60" s="90" t="s">
        <v>11</v>
      </c>
      <c r="B60" s="79" t="s">
        <v>118</v>
      </c>
      <c r="C60" s="80"/>
      <c r="D60" s="79" t="s">
        <v>125</v>
      </c>
      <c r="E60" s="80" t="s">
        <v>490</v>
      </c>
      <c r="F60" s="81">
        <v>1</v>
      </c>
      <c r="G60" s="80" t="s">
        <v>491</v>
      </c>
      <c r="H60" s="80" t="s">
        <v>492</v>
      </c>
      <c r="I60" s="82" t="s">
        <v>381</v>
      </c>
      <c r="J60" s="83"/>
      <c r="K60" s="84"/>
      <c r="L60" s="85"/>
    </row>
    <row r="61" spans="1:12" x14ac:dyDescent="0.25">
      <c r="A61" s="91" t="s">
        <v>11</v>
      </c>
      <c r="B61" s="47" t="s">
        <v>118</v>
      </c>
      <c r="C61" s="48"/>
      <c r="D61" s="47" t="s">
        <v>125</v>
      </c>
      <c r="E61" s="48"/>
      <c r="F61" s="47">
        <v>2</v>
      </c>
      <c r="G61" s="48" t="s">
        <v>493</v>
      </c>
      <c r="H61" s="48" t="s">
        <v>494</v>
      </c>
      <c r="I61" s="87" t="s">
        <v>381</v>
      </c>
      <c r="J61" s="88"/>
      <c r="K61" s="89"/>
      <c r="L61" s="54"/>
    </row>
    <row r="62" spans="1:12" ht="25.5" x14ac:dyDescent="0.25">
      <c r="A62" s="90" t="s">
        <v>11</v>
      </c>
      <c r="B62" s="79" t="s">
        <v>127</v>
      </c>
      <c r="C62" s="80" t="s">
        <v>128</v>
      </c>
      <c r="D62" s="79" t="s">
        <v>130</v>
      </c>
      <c r="E62" s="80" t="s">
        <v>495</v>
      </c>
      <c r="F62" s="81">
        <v>1</v>
      </c>
      <c r="G62" s="80" t="s">
        <v>496</v>
      </c>
      <c r="H62" s="80" t="s">
        <v>497</v>
      </c>
      <c r="I62" s="82" t="s">
        <v>381</v>
      </c>
      <c r="J62" s="83"/>
      <c r="K62" s="84"/>
      <c r="L62" s="85"/>
    </row>
    <row r="63" spans="1:12" x14ac:dyDescent="0.25">
      <c r="A63" s="90" t="s">
        <v>11</v>
      </c>
      <c r="B63" s="79" t="s">
        <v>127</v>
      </c>
      <c r="C63" s="80"/>
      <c r="D63" s="79" t="s">
        <v>132</v>
      </c>
      <c r="E63" s="80" t="s">
        <v>498</v>
      </c>
      <c r="F63" s="81">
        <v>1</v>
      </c>
      <c r="G63" s="80" t="s">
        <v>499</v>
      </c>
      <c r="H63" s="80" t="s">
        <v>500</v>
      </c>
      <c r="I63" s="82" t="s">
        <v>381</v>
      </c>
      <c r="J63" s="83"/>
      <c r="K63" s="84"/>
      <c r="L63" s="85"/>
    </row>
    <row r="64" spans="1:12" x14ac:dyDescent="0.25">
      <c r="A64" s="91" t="s">
        <v>11</v>
      </c>
      <c r="B64" s="47" t="s">
        <v>127</v>
      </c>
      <c r="C64" s="48"/>
      <c r="D64" s="47" t="s">
        <v>132</v>
      </c>
      <c r="E64" s="48"/>
      <c r="F64" s="47">
        <v>2</v>
      </c>
      <c r="G64" s="48" t="s">
        <v>501</v>
      </c>
      <c r="H64" s="48" t="s">
        <v>423</v>
      </c>
      <c r="I64" s="87" t="s">
        <v>381</v>
      </c>
      <c r="J64" s="88"/>
      <c r="K64" s="89"/>
      <c r="L64" s="54"/>
    </row>
    <row r="65" spans="1:12" x14ac:dyDescent="0.25">
      <c r="A65" s="90" t="s">
        <v>11</v>
      </c>
      <c r="B65" s="79" t="s">
        <v>127</v>
      </c>
      <c r="C65" s="80"/>
      <c r="D65" s="79" t="s">
        <v>134</v>
      </c>
      <c r="E65" s="80" t="s">
        <v>502</v>
      </c>
      <c r="F65" s="81">
        <v>1</v>
      </c>
      <c r="G65" s="80" t="s">
        <v>503</v>
      </c>
      <c r="H65" s="80" t="s">
        <v>504</v>
      </c>
      <c r="I65" s="82" t="s">
        <v>381</v>
      </c>
      <c r="J65" s="83"/>
      <c r="K65" s="84"/>
      <c r="L65" s="85"/>
    </row>
    <row r="66" spans="1:12" x14ac:dyDescent="0.25">
      <c r="A66" s="91" t="s">
        <v>11</v>
      </c>
      <c r="B66" s="47" t="s">
        <v>127</v>
      </c>
      <c r="C66" s="48"/>
      <c r="D66" s="47" t="s">
        <v>134</v>
      </c>
      <c r="E66" s="48"/>
      <c r="F66" s="47">
        <v>2</v>
      </c>
      <c r="G66" s="48" t="s">
        <v>505</v>
      </c>
      <c r="H66" s="48" t="s">
        <v>430</v>
      </c>
      <c r="I66" s="87" t="s">
        <v>381</v>
      </c>
      <c r="J66" s="88"/>
      <c r="K66" s="89"/>
      <c r="L66" s="54"/>
    </row>
    <row r="67" spans="1:12" x14ac:dyDescent="0.25">
      <c r="A67" s="90" t="s">
        <v>11</v>
      </c>
      <c r="B67" s="79" t="s">
        <v>136</v>
      </c>
      <c r="C67" s="80" t="s">
        <v>137</v>
      </c>
      <c r="D67" s="79" t="s">
        <v>139</v>
      </c>
      <c r="E67" s="80" t="s">
        <v>506</v>
      </c>
      <c r="F67" s="81">
        <v>1</v>
      </c>
      <c r="G67" s="80" t="s">
        <v>507</v>
      </c>
      <c r="H67" s="80" t="s">
        <v>508</v>
      </c>
      <c r="I67" s="82" t="s">
        <v>381</v>
      </c>
      <c r="J67" s="83"/>
      <c r="K67" s="84"/>
      <c r="L67" s="85"/>
    </row>
    <row r="68" spans="1:12" x14ac:dyDescent="0.25">
      <c r="A68" s="91" t="s">
        <v>11</v>
      </c>
      <c r="B68" s="47" t="s">
        <v>136</v>
      </c>
      <c r="C68" s="48"/>
      <c r="D68" s="47" t="s">
        <v>139</v>
      </c>
      <c r="E68" s="48"/>
      <c r="F68" s="47">
        <v>2</v>
      </c>
      <c r="G68" s="48" t="s">
        <v>509</v>
      </c>
      <c r="H68" s="48" t="s">
        <v>510</v>
      </c>
      <c r="I68" s="87" t="s">
        <v>381</v>
      </c>
      <c r="J68" s="88"/>
      <c r="K68" s="89"/>
      <c r="L68" s="54"/>
    </row>
    <row r="69" spans="1:12" x14ac:dyDescent="0.25">
      <c r="A69" s="90" t="s">
        <v>11</v>
      </c>
      <c r="B69" s="79" t="s">
        <v>136</v>
      </c>
      <c r="C69" s="80"/>
      <c r="D69" s="79" t="s">
        <v>141</v>
      </c>
      <c r="E69" s="80" t="s">
        <v>511</v>
      </c>
      <c r="F69" s="81">
        <v>1</v>
      </c>
      <c r="G69" s="80" t="s">
        <v>512</v>
      </c>
      <c r="H69" s="80" t="s">
        <v>513</v>
      </c>
      <c r="I69" s="82" t="s">
        <v>381</v>
      </c>
      <c r="J69" s="83"/>
      <c r="K69" s="84"/>
      <c r="L69" s="85"/>
    </row>
    <row r="70" spans="1:12" x14ac:dyDescent="0.25">
      <c r="A70" s="90" t="s">
        <v>11</v>
      </c>
      <c r="B70" s="79" t="s">
        <v>143</v>
      </c>
      <c r="C70" s="80" t="s">
        <v>144</v>
      </c>
      <c r="D70" s="79" t="s">
        <v>147</v>
      </c>
      <c r="E70" s="80" t="s">
        <v>514</v>
      </c>
      <c r="F70" s="81">
        <v>1</v>
      </c>
      <c r="G70" s="80" t="s">
        <v>515</v>
      </c>
      <c r="H70" s="80" t="s">
        <v>516</v>
      </c>
      <c r="I70" s="82" t="s">
        <v>381</v>
      </c>
      <c r="J70" s="83"/>
      <c r="K70" s="84"/>
      <c r="L70" s="85"/>
    </row>
    <row r="71" spans="1:12" x14ac:dyDescent="0.25">
      <c r="A71" s="91" t="s">
        <v>11</v>
      </c>
      <c r="B71" s="47" t="s">
        <v>143</v>
      </c>
      <c r="C71" s="48"/>
      <c r="D71" s="47" t="s">
        <v>147</v>
      </c>
      <c r="E71" s="48"/>
      <c r="F71" s="47">
        <v>2</v>
      </c>
      <c r="G71" s="48" t="s">
        <v>517</v>
      </c>
      <c r="H71" s="48" t="s">
        <v>475</v>
      </c>
      <c r="I71" s="87" t="s">
        <v>381</v>
      </c>
      <c r="J71" s="88"/>
      <c r="K71" s="89"/>
      <c r="L71" s="54"/>
    </row>
    <row r="72" spans="1:12" x14ac:dyDescent="0.25">
      <c r="A72" s="90" t="s">
        <v>11</v>
      </c>
      <c r="B72" s="79" t="s">
        <v>143</v>
      </c>
      <c r="C72" s="80"/>
      <c r="D72" s="79" t="s">
        <v>149</v>
      </c>
      <c r="E72" s="80" t="s">
        <v>518</v>
      </c>
      <c r="F72" s="81">
        <v>1</v>
      </c>
      <c r="G72" s="80" t="s">
        <v>519</v>
      </c>
      <c r="H72" s="80" t="s">
        <v>417</v>
      </c>
      <c r="I72" s="82" t="s">
        <v>381</v>
      </c>
      <c r="J72" s="83"/>
      <c r="K72" s="84"/>
      <c r="L72" s="85"/>
    </row>
    <row r="73" spans="1:12" x14ac:dyDescent="0.25">
      <c r="A73" s="91" t="s">
        <v>11</v>
      </c>
      <c r="B73" s="47" t="s">
        <v>143</v>
      </c>
      <c r="C73" s="48"/>
      <c r="D73" s="47" t="s">
        <v>149</v>
      </c>
      <c r="E73" s="48"/>
      <c r="F73" s="47">
        <v>2</v>
      </c>
      <c r="G73" s="48" t="s">
        <v>520</v>
      </c>
      <c r="H73" s="48" t="s">
        <v>430</v>
      </c>
      <c r="I73" s="87" t="s">
        <v>381</v>
      </c>
      <c r="J73" s="88"/>
      <c r="K73" s="89"/>
      <c r="L73" s="54"/>
    </row>
    <row r="74" spans="1:12" x14ac:dyDescent="0.25">
      <c r="A74" s="90" t="s">
        <v>11</v>
      </c>
      <c r="B74" s="79" t="s">
        <v>143</v>
      </c>
      <c r="C74" s="80"/>
      <c r="D74" s="79" t="s">
        <v>151</v>
      </c>
      <c r="E74" s="80" t="s">
        <v>521</v>
      </c>
      <c r="F74" s="81">
        <v>1</v>
      </c>
      <c r="G74" s="80" t="s">
        <v>522</v>
      </c>
      <c r="H74" s="80" t="s">
        <v>475</v>
      </c>
      <c r="I74" s="82" t="s">
        <v>381</v>
      </c>
      <c r="J74" s="83"/>
      <c r="K74" s="84"/>
      <c r="L74" s="85"/>
    </row>
    <row r="75" spans="1:12" x14ac:dyDescent="0.25">
      <c r="A75" s="91" t="s">
        <v>11</v>
      </c>
      <c r="B75" s="47" t="s">
        <v>143</v>
      </c>
      <c r="C75" s="48"/>
      <c r="D75" s="47" t="s">
        <v>151</v>
      </c>
      <c r="E75" s="48"/>
      <c r="F75" s="47">
        <v>2</v>
      </c>
      <c r="G75" s="48" t="s">
        <v>523</v>
      </c>
      <c r="H75" s="48" t="s">
        <v>475</v>
      </c>
      <c r="I75" s="87" t="s">
        <v>381</v>
      </c>
      <c r="J75" s="88"/>
      <c r="K75" s="89"/>
      <c r="L75" s="54"/>
    </row>
    <row r="76" spans="1:12" x14ac:dyDescent="0.25">
      <c r="A76" s="90" t="s">
        <v>11</v>
      </c>
      <c r="B76" s="79" t="s">
        <v>143</v>
      </c>
      <c r="C76" s="80"/>
      <c r="D76" s="79" t="s">
        <v>153</v>
      </c>
      <c r="E76" s="80" t="s">
        <v>524</v>
      </c>
      <c r="F76" s="81">
        <v>1</v>
      </c>
      <c r="G76" s="80" t="s">
        <v>525</v>
      </c>
      <c r="H76" s="80" t="s">
        <v>419</v>
      </c>
      <c r="I76" s="82" t="s">
        <v>381</v>
      </c>
      <c r="J76" s="83"/>
      <c r="K76" s="84"/>
      <c r="L76" s="85"/>
    </row>
    <row r="77" spans="1:12" x14ac:dyDescent="0.25">
      <c r="A77" s="91" t="s">
        <v>11</v>
      </c>
      <c r="B77" s="47" t="s">
        <v>143</v>
      </c>
      <c r="C77" s="48"/>
      <c r="D77" s="47" t="s">
        <v>153</v>
      </c>
      <c r="E77" s="48"/>
      <c r="F77" s="47">
        <v>2</v>
      </c>
      <c r="G77" s="48" t="s">
        <v>526</v>
      </c>
      <c r="H77" s="48" t="s">
        <v>527</v>
      </c>
      <c r="I77" s="87" t="s">
        <v>381</v>
      </c>
      <c r="J77" s="88"/>
      <c r="K77" s="89"/>
      <c r="L77" s="54"/>
    </row>
    <row r="78" spans="1:12" x14ac:dyDescent="0.25">
      <c r="A78" s="90" t="s">
        <v>11</v>
      </c>
      <c r="B78" s="79" t="s">
        <v>155</v>
      </c>
      <c r="C78" s="80" t="s">
        <v>156</v>
      </c>
      <c r="D78" s="79" t="s">
        <v>159</v>
      </c>
      <c r="E78" s="80" t="s">
        <v>528</v>
      </c>
      <c r="F78" s="81">
        <v>1</v>
      </c>
      <c r="G78" s="80" t="s">
        <v>529</v>
      </c>
      <c r="H78" s="80" t="s">
        <v>530</v>
      </c>
      <c r="I78" s="82" t="s">
        <v>381</v>
      </c>
      <c r="J78" s="83"/>
      <c r="K78" s="84"/>
      <c r="L78" s="85"/>
    </row>
    <row r="79" spans="1:12" x14ac:dyDescent="0.25">
      <c r="A79" s="91" t="s">
        <v>11</v>
      </c>
      <c r="B79" s="47" t="s">
        <v>155</v>
      </c>
      <c r="C79" s="48"/>
      <c r="D79" s="47" t="s">
        <v>159</v>
      </c>
      <c r="E79" s="48"/>
      <c r="F79" s="47">
        <v>2</v>
      </c>
      <c r="G79" s="48" t="s">
        <v>531</v>
      </c>
      <c r="H79" s="48" t="s">
        <v>532</v>
      </c>
      <c r="I79" s="87" t="s">
        <v>381</v>
      </c>
      <c r="J79" s="88"/>
      <c r="K79" s="89"/>
      <c r="L79" s="54"/>
    </row>
    <row r="80" spans="1:12" x14ac:dyDescent="0.25">
      <c r="A80" s="90" t="s">
        <v>11</v>
      </c>
      <c r="B80" s="79" t="s">
        <v>155</v>
      </c>
      <c r="C80" s="80"/>
      <c r="D80" s="79" t="s">
        <v>161</v>
      </c>
      <c r="E80" s="80" t="s">
        <v>533</v>
      </c>
      <c r="F80" s="81">
        <v>1</v>
      </c>
      <c r="G80" s="80" t="s">
        <v>534</v>
      </c>
      <c r="H80" s="80" t="s">
        <v>535</v>
      </c>
      <c r="I80" s="82" t="s">
        <v>381</v>
      </c>
      <c r="J80" s="83"/>
      <c r="K80" s="84"/>
      <c r="L80" s="85"/>
    </row>
    <row r="81" spans="1:12" x14ac:dyDescent="0.25">
      <c r="A81" s="91" t="s">
        <v>11</v>
      </c>
      <c r="B81" s="47" t="s">
        <v>155</v>
      </c>
      <c r="C81" s="48"/>
      <c r="D81" s="47" t="s">
        <v>161</v>
      </c>
      <c r="E81" s="48"/>
      <c r="F81" s="47">
        <v>2</v>
      </c>
      <c r="G81" s="48" t="s">
        <v>536</v>
      </c>
      <c r="H81" s="48" t="s">
        <v>537</v>
      </c>
      <c r="I81" s="87" t="s">
        <v>381</v>
      </c>
      <c r="J81" s="88"/>
      <c r="K81" s="89"/>
      <c r="L81" s="54"/>
    </row>
    <row r="82" spans="1:12" x14ac:dyDescent="0.25">
      <c r="A82" s="90" t="s">
        <v>11</v>
      </c>
      <c r="B82" s="79" t="s">
        <v>155</v>
      </c>
      <c r="C82" s="80"/>
      <c r="D82" s="79" t="s">
        <v>163</v>
      </c>
      <c r="E82" s="80" t="s">
        <v>538</v>
      </c>
      <c r="F82" s="81">
        <v>1</v>
      </c>
      <c r="G82" s="80" t="s">
        <v>539</v>
      </c>
      <c r="H82" s="80" t="s">
        <v>540</v>
      </c>
      <c r="I82" s="82" t="s">
        <v>381</v>
      </c>
      <c r="J82" s="83"/>
      <c r="K82" s="84"/>
      <c r="L82" s="85"/>
    </row>
    <row r="83" spans="1:12" x14ac:dyDescent="0.25">
      <c r="A83" s="91" t="s">
        <v>11</v>
      </c>
      <c r="B83" s="47" t="s">
        <v>155</v>
      </c>
      <c r="C83" s="48"/>
      <c r="D83" s="47" t="s">
        <v>163</v>
      </c>
      <c r="E83" s="48"/>
      <c r="F83" s="47">
        <v>2</v>
      </c>
      <c r="G83" s="48" t="s">
        <v>541</v>
      </c>
      <c r="H83" s="48" t="s">
        <v>542</v>
      </c>
      <c r="I83" s="87" t="s">
        <v>381</v>
      </c>
      <c r="J83" s="88"/>
      <c r="K83" s="89"/>
      <c r="L83" s="54"/>
    </row>
    <row r="84" spans="1:12" x14ac:dyDescent="0.25">
      <c r="A84" s="3" t="s">
        <v>165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25.5" x14ac:dyDescent="0.25">
      <c r="A85" s="92" t="s">
        <v>13</v>
      </c>
      <c r="B85" s="79" t="s">
        <v>98</v>
      </c>
      <c r="C85" s="80" t="s">
        <v>166</v>
      </c>
      <c r="D85" s="79" t="s">
        <v>168</v>
      </c>
      <c r="E85" s="80" t="s">
        <v>543</v>
      </c>
      <c r="F85" s="81">
        <v>1</v>
      </c>
      <c r="G85" s="80" t="s">
        <v>544</v>
      </c>
      <c r="H85" s="80" t="s">
        <v>545</v>
      </c>
      <c r="I85" s="82" t="s">
        <v>381</v>
      </c>
      <c r="J85" s="83"/>
      <c r="K85" s="84"/>
      <c r="L85" s="85"/>
    </row>
    <row r="86" spans="1:12" x14ac:dyDescent="0.25">
      <c r="A86" s="93" t="s">
        <v>13</v>
      </c>
      <c r="B86" s="47" t="s">
        <v>98</v>
      </c>
      <c r="C86" s="48"/>
      <c r="D86" s="47" t="s">
        <v>168</v>
      </c>
      <c r="E86" s="48"/>
      <c r="F86" s="47">
        <v>2</v>
      </c>
      <c r="G86" s="48" t="s">
        <v>546</v>
      </c>
      <c r="H86" s="48" t="s">
        <v>547</v>
      </c>
      <c r="I86" s="87" t="s">
        <v>381</v>
      </c>
      <c r="J86" s="88"/>
      <c r="K86" s="89"/>
      <c r="L86" s="54"/>
    </row>
    <row r="87" spans="1:12" x14ac:dyDescent="0.25">
      <c r="A87" s="92" t="s">
        <v>13</v>
      </c>
      <c r="B87" s="79" t="s">
        <v>98</v>
      </c>
      <c r="C87" s="80"/>
      <c r="D87" s="79" t="s">
        <v>170</v>
      </c>
      <c r="E87" s="80" t="s">
        <v>548</v>
      </c>
      <c r="F87" s="81">
        <v>1</v>
      </c>
      <c r="G87" s="80" t="s">
        <v>549</v>
      </c>
      <c r="H87" s="80" t="s">
        <v>550</v>
      </c>
      <c r="I87" s="82" t="s">
        <v>381</v>
      </c>
      <c r="J87" s="83"/>
      <c r="K87" s="84"/>
      <c r="L87" s="85"/>
    </row>
    <row r="88" spans="1:12" x14ac:dyDescent="0.25">
      <c r="A88" s="93" t="s">
        <v>13</v>
      </c>
      <c r="B88" s="47" t="s">
        <v>98</v>
      </c>
      <c r="C88" s="48"/>
      <c r="D88" s="47" t="s">
        <v>170</v>
      </c>
      <c r="E88" s="48"/>
      <c r="F88" s="47">
        <v>2</v>
      </c>
      <c r="G88" s="48" t="s">
        <v>551</v>
      </c>
      <c r="H88" s="48" t="s">
        <v>550</v>
      </c>
      <c r="I88" s="87" t="s">
        <v>381</v>
      </c>
      <c r="J88" s="88"/>
      <c r="K88" s="89"/>
      <c r="L88" s="54"/>
    </row>
    <row r="89" spans="1:12" x14ac:dyDescent="0.25">
      <c r="A89" s="92" t="s">
        <v>13</v>
      </c>
      <c r="B89" s="79" t="s">
        <v>98</v>
      </c>
      <c r="C89" s="80"/>
      <c r="D89" s="79" t="s">
        <v>172</v>
      </c>
      <c r="E89" s="80" t="s">
        <v>552</v>
      </c>
      <c r="F89" s="81">
        <v>1</v>
      </c>
      <c r="G89" s="80" t="s">
        <v>553</v>
      </c>
      <c r="H89" s="80" t="s">
        <v>550</v>
      </c>
      <c r="I89" s="82" t="s">
        <v>381</v>
      </c>
      <c r="J89" s="83"/>
      <c r="K89" s="84"/>
      <c r="L89" s="85"/>
    </row>
    <row r="90" spans="1:12" x14ac:dyDescent="0.25">
      <c r="A90" s="92" t="s">
        <v>13</v>
      </c>
      <c r="B90" s="79" t="s">
        <v>98</v>
      </c>
      <c r="C90" s="80"/>
      <c r="D90" s="79" t="s">
        <v>174</v>
      </c>
      <c r="E90" s="80" t="s">
        <v>554</v>
      </c>
      <c r="F90" s="81">
        <v>1</v>
      </c>
      <c r="G90" s="80" t="s">
        <v>555</v>
      </c>
      <c r="H90" s="80" t="s">
        <v>556</v>
      </c>
      <c r="I90" s="82" t="s">
        <v>381</v>
      </c>
      <c r="J90" s="83"/>
      <c r="K90" s="84"/>
      <c r="L90" s="85"/>
    </row>
    <row r="91" spans="1:12" x14ac:dyDescent="0.25">
      <c r="A91" s="93" t="s">
        <v>13</v>
      </c>
      <c r="B91" s="47" t="s">
        <v>98</v>
      </c>
      <c r="C91" s="48"/>
      <c r="D91" s="47" t="s">
        <v>174</v>
      </c>
      <c r="E91" s="48"/>
      <c r="F91" s="47">
        <v>2</v>
      </c>
      <c r="G91" s="48" t="s">
        <v>557</v>
      </c>
      <c r="H91" s="48" t="s">
        <v>409</v>
      </c>
      <c r="I91" s="87" t="s">
        <v>381</v>
      </c>
      <c r="J91" s="88"/>
      <c r="K91" s="89"/>
      <c r="L91" s="54"/>
    </row>
    <row r="92" spans="1:12" x14ac:dyDescent="0.25">
      <c r="A92" s="92" t="s">
        <v>13</v>
      </c>
      <c r="B92" s="79" t="s">
        <v>111</v>
      </c>
      <c r="C92" s="80" t="s">
        <v>176</v>
      </c>
      <c r="D92" s="79" t="s">
        <v>178</v>
      </c>
      <c r="E92" s="80" t="s">
        <v>558</v>
      </c>
      <c r="F92" s="81">
        <v>1</v>
      </c>
      <c r="G92" s="80" t="s">
        <v>559</v>
      </c>
      <c r="H92" s="80" t="s">
        <v>560</v>
      </c>
      <c r="I92" s="82" t="s">
        <v>381</v>
      </c>
      <c r="J92" s="83"/>
      <c r="K92" s="84"/>
      <c r="L92" s="85"/>
    </row>
    <row r="93" spans="1:12" x14ac:dyDescent="0.25">
      <c r="A93" s="92" t="s">
        <v>13</v>
      </c>
      <c r="B93" s="79" t="s">
        <v>111</v>
      </c>
      <c r="C93" s="80"/>
      <c r="D93" s="79" t="s">
        <v>180</v>
      </c>
      <c r="E93" s="80" t="s">
        <v>561</v>
      </c>
      <c r="F93" s="81">
        <v>1</v>
      </c>
      <c r="G93" s="80" t="s">
        <v>562</v>
      </c>
      <c r="H93" s="80" t="s">
        <v>563</v>
      </c>
      <c r="I93" s="82" t="s">
        <v>381</v>
      </c>
      <c r="J93" s="83"/>
      <c r="K93" s="84"/>
      <c r="L93" s="85"/>
    </row>
    <row r="94" spans="1:12" x14ac:dyDescent="0.25">
      <c r="A94" s="93" t="s">
        <v>13</v>
      </c>
      <c r="B94" s="47" t="s">
        <v>111</v>
      </c>
      <c r="C94" s="48"/>
      <c r="D94" s="47" t="s">
        <v>180</v>
      </c>
      <c r="E94" s="48"/>
      <c r="F94" s="47">
        <v>2</v>
      </c>
      <c r="G94" s="48" t="s">
        <v>564</v>
      </c>
      <c r="H94" s="48" t="s">
        <v>457</v>
      </c>
      <c r="I94" s="87" t="s">
        <v>381</v>
      </c>
      <c r="J94" s="88"/>
      <c r="K94" s="89"/>
      <c r="L94" s="54"/>
    </row>
    <row r="95" spans="1:12" ht="25.5" x14ac:dyDescent="0.25">
      <c r="A95" s="92" t="s">
        <v>13</v>
      </c>
      <c r="B95" s="79" t="s">
        <v>110</v>
      </c>
      <c r="C95" s="80" t="s">
        <v>182</v>
      </c>
      <c r="D95" s="79" t="s">
        <v>184</v>
      </c>
      <c r="E95" s="80" t="s">
        <v>565</v>
      </c>
      <c r="F95" s="81">
        <v>1</v>
      </c>
      <c r="G95" s="80" t="s">
        <v>566</v>
      </c>
      <c r="H95" s="80" t="s">
        <v>545</v>
      </c>
      <c r="I95" s="82" t="s">
        <v>381</v>
      </c>
      <c r="J95" s="83"/>
      <c r="K95" s="84"/>
      <c r="L95" s="85"/>
    </row>
    <row r="96" spans="1:12" x14ac:dyDescent="0.25">
      <c r="A96" s="92" t="s">
        <v>13</v>
      </c>
      <c r="B96" s="79" t="s">
        <v>110</v>
      </c>
      <c r="C96" s="80"/>
      <c r="D96" s="79" t="s">
        <v>186</v>
      </c>
      <c r="E96" s="80" t="s">
        <v>567</v>
      </c>
      <c r="F96" s="81">
        <v>1</v>
      </c>
      <c r="G96" s="80" t="s">
        <v>568</v>
      </c>
      <c r="H96" s="80" t="s">
        <v>419</v>
      </c>
      <c r="I96" s="82" t="s">
        <v>381</v>
      </c>
      <c r="J96" s="83"/>
      <c r="K96" s="84"/>
      <c r="L96" s="85"/>
    </row>
    <row r="97" spans="1:12" x14ac:dyDescent="0.25">
      <c r="A97" s="93" t="s">
        <v>13</v>
      </c>
      <c r="B97" s="47" t="s">
        <v>110</v>
      </c>
      <c r="C97" s="48"/>
      <c r="D97" s="47" t="s">
        <v>186</v>
      </c>
      <c r="E97" s="48"/>
      <c r="F97" s="47">
        <v>2</v>
      </c>
      <c r="G97" s="48" t="s">
        <v>569</v>
      </c>
      <c r="H97" s="48" t="s">
        <v>550</v>
      </c>
      <c r="I97" s="87" t="s">
        <v>381</v>
      </c>
      <c r="J97" s="88"/>
      <c r="K97" s="89"/>
      <c r="L97" s="54"/>
    </row>
    <row r="98" spans="1:12" x14ac:dyDescent="0.25">
      <c r="A98" s="92" t="s">
        <v>13</v>
      </c>
      <c r="B98" s="79" t="s">
        <v>110</v>
      </c>
      <c r="C98" s="80"/>
      <c r="D98" s="79" t="s">
        <v>187</v>
      </c>
      <c r="E98" s="80" t="s">
        <v>570</v>
      </c>
      <c r="F98" s="81">
        <v>1</v>
      </c>
      <c r="G98" s="80" t="s">
        <v>571</v>
      </c>
      <c r="H98" s="80" t="s">
        <v>572</v>
      </c>
      <c r="I98" s="82" t="s">
        <v>381</v>
      </c>
      <c r="J98" s="83"/>
      <c r="K98" s="84"/>
      <c r="L98" s="85"/>
    </row>
    <row r="99" spans="1:12" x14ac:dyDescent="0.25">
      <c r="A99" s="93" t="s">
        <v>13</v>
      </c>
      <c r="B99" s="47" t="s">
        <v>110</v>
      </c>
      <c r="C99" s="48"/>
      <c r="D99" s="47" t="s">
        <v>187</v>
      </c>
      <c r="E99" s="48"/>
      <c r="F99" s="47">
        <v>2</v>
      </c>
      <c r="G99" s="48" t="s">
        <v>573</v>
      </c>
      <c r="H99" s="48" t="s">
        <v>457</v>
      </c>
      <c r="I99" s="87" t="s">
        <v>381</v>
      </c>
      <c r="J99" s="88"/>
      <c r="K99" s="89"/>
      <c r="L99" s="54"/>
    </row>
    <row r="100" spans="1:12" x14ac:dyDescent="0.25">
      <c r="A100" s="92" t="s">
        <v>13</v>
      </c>
      <c r="B100" s="79" t="s">
        <v>110</v>
      </c>
      <c r="C100" s="80"/>
      <c r="D100" s="79" t="s">
        <v>189</v>
      </c>
      <c r="E100" s="80" t="s">
        <v>574</v>
      </c>
      <c r="F100" s="81">
        <v>1</v>
      </c>
      <c r="G100" s="80" t="s">
        <v>575</v>
      </c>
      <c r="H100" s="80" t="s">
        <v>556</v>
      </c>
      <c r="I100" s="82" t="s">
        <v>381</v>
      </c>
      <c r="J100" s="83"/>
      <c r="K100" s="84"/>
      <c r="L100" s="85"/>
    </row>
    <row r="101" spans="1:12" x14ac:dyDescent="0.25">
      <c r="A101" s="93" t="s">
        <v>13</v>
      </c>
      <c r="B101" s="47" t="s">
        <v>110</v>
      </c>
      <c r="C101" s="48"/>
      <c r="D101" s="47" t="s">
        <v>189</v>
      </c>
      <c r="E101" s="48"/>
      <c r="F101" s="47">
        <v>2</v>
      </c>
      <c r="G101" s="48" t="s">
        <v>576</v>
      </c>
      <c r="H101" s="48" t="s">
        <v>577</v>
      </c>
      <c r="I101" s="87" t="s">
        <v>381</v>
      </c>
      <c r="J101" s="88"/>
      <c r="K101" s="89"/>
      <c r="L101" s="54"/>
    </row>
    <row r="102" spans="1:12" ht="25.5" x14ac:dyDescent="0.25">
      <c r="A102" s="92" t="s">
        <v>13</v>
      </c>
      <c r="B102" s="79" t="s">
        <v>191</v>
      </c>
      <c r="C102" s="80" t="s">
        <v>192</v>
      </c>
      <c r="D102" s="79" t="s">
        <v>194</v>
      </c>
      <c r="E102" s="80" t="s">
        <v>578</v>
      </c>
      <c r="F102" s="81">
        <v>1</v>
      </c>
      <c r="G102" s="80" t="s">
        <v>579</v>
      </c>
      <c r="H102" s="80" t="s">
        <v>580</v>
      </c>
      <c r="I102" s="82" t="s">
        <v>381</v>
      </c>
      <c r="J102" s="83"/>
      <c r="K102" s="84"/>
      <c r="L102" s="85"/>
    </row>
    <row r="103" spans="1:12" x14ac:dyDescent="0.25">
      <c r="A103" s="92" t="s">
        <v>13</v>
      </c>
      <c r="B103" s="79" t="s">
        <v>191</v>
      </c>
      <c r="C103" s="80"/>
      <c r="D103" s="79" t="s">
        <v>196</v>
      </c>
      <c r="E103" s="80" t="s">
        <v>581</v>
      </c>
      <c r="F103" s="81">
        <v>1</v>
      </c>
      <c r="G103" s="80" t="s">
        <v>582</v>
      </c>
      <c r="H103" s="80" t="s">
        <v>583</v>
      </c>
      <c r="I103" s="82" t="s">
        <v>381</v>
      </c>
      <c r="J103" s="83"/>
      <c r="K103" s="84"/>
      <c r="L103" s="85"/>
    </row>
    <row r="104" spans="1:12" x14ac:dyDescent="0.25">
      <c r="A104" s="93" t="s">
        <v>13</v>
      </c>
      <c r="B104" s="47" t="s">
        <v>191</v>
      </c>
      <c r="C104" s="48"/>
      <c r="D104" s="47" t="s">
        <v>196</v>
      </c>
      <c r="E104" s="48"/>
      <c r="F104" s="47">
        <v>2</v>
      </c>
      <c r="G104" s="48" t="s">
        <v>584</v>
      </c>
      <c r="H104" s="48" t="s">
        <v>585</v>
      </c>
      <c r="I104" s="87" t="s">
        <v>381</v>
      </c>
      <c r="J104" s="88"/>
      <c r="K104" s="89"/>
      <c r="L104" s="54"/>
    </row>
    <row r="105" spans="1:12" x14ac:dyDescent="0.25">
      <c r="A105" s="92" t="s">
        <v>13</v>
      </c>
      <c r="B105" s="79" t="s">
        <v>191</v>
      </c>
      <c r="C105" s="80"/>
      <c r="D105" s="79" t="s">
        <v>198</v>
      </c>
      <c r="E105" s="80" t="s">
        <v>586</v>
      </c>
      <c r="F105" s="81">
        <v>1</v>
      </c>
      <c r="G105" s="80" t="s">
        <v>587</v>
      </c>
      <c r="H105" s="80" t="s">
        <v>556</v>
      </c>
      <c r="I105" s="82" t="s">
        <v>381</v>
      </c>
      <c r="J105" s="83"/>
      <c r="K105" s="84"/>
      <c r="L105" s="85"/>
    </row>
    <row r="106" spans="1:12" x14ac:dyDescent="0.25">
      <c r="A106" s="93" t="s">
        <v>13</v>
      </c>
      <c r="B106" s="47" t="s">
        <v>191</v>
      </c>
      <c r="C106" s="48"/>
      <c r="D106" s="47" t="s">
        <v>198</v>
      </c>
      <c r="E106" s="48"/>
      <c r="F106" s="47">
        <v>2</v>
      </c>
      <c r="G106" s="48" t="s">
        <v>193</v>
      </c>
      <c r="H106" s="48" t="s">
        <v>409</v>
      </c>
      <c r="I106" s="87" t="s">
        <v>381</v>
      </c>
      <c r="J106" s="88"/>
      <c r="K106" s="89"/>
      <c r="L106" s="54"/>
    </row>
    <row r="107" spans="1:12" ht="25.5" x14ac:dyDescent="0.25">
      <c r="A107" s="92" t="s">
        <v>13</v>
      </c>
      <c r="B107" s="79" t="s">
        <v>200</v>
      </c>
      <c r="C107" s="80" t="s">
        <v>201</v>
      </c>
      <c r="D107" s="79" t="s">
        <v>204</v>
      </c>
      <c r="E107" s="80" t="s">
        <v>588</v>
      </c>
      <c r="F107" s="81">
        <v>1</v>
      </c>
      <c r="G107" s="80" t="s">
        <v>589</v>
      </c>
      <c r="H107" s="80" t="s">
        <v>417</v>
      </c>
      <c r="I107" s="82" t="s">
        <v>381</v>
      </c>
      <c r="J107" s="83"/>
      <c r="K107" s="84"/>
      <c r="L107" s="85"/>
    </row>
    <row r="108" spans="1:12" x14ac:dyDescent="0.25">
      <c r="A108" s="93" t="s">
        <v>13</v>
      </c>
      <c r="B108" s="47" t="s">
        <v>200</v>
      </c>
      <c r="C108" s="48"/>
      <c r="D108" s="47" t="s">
        <v>204</v>
      </c>
      <c r="E108" s="48"/>
      <c r="F108" s="47">
        <v>2</v>
      </c>
      <c r="G108" s="48" t="s">
        <v>590</v>
      </c>
      <c r="H108" s="48" t="s">
        <v>470</v>
      </c>
      <c r="I108" s="87" t="s">
        <v>381</v>
      </c>
      <c r="J108" s="88"/>
      <c r="K108" s="89"/>
      <c r="L108" s="54"/>
    </row>
    <row r="109" spans="1:12" x14ac:dyDescent="0.25">
      <c r="A109" s="92" t="s">
        <v>13</v>
      </c>
      <c r="B109" s="79" t="s">
        <v>200</v>
      </c>
      <c r="C109" s="80"/>
      <c r="D109" s="79" t="s">
        <v>206</v>
      </c>
      <c r="E109" s="80" t="s">
        <v>591</v>
      </c>
      <c r="F109" s="81">
        <v>1</v>
      </c>
      <c r="G109" s="80" t="s">
        <v>592</v>
      </c>
      <c r="H109" s="80" t="s">
        <v>593</v>
      </c>
      <c r="I109" s="82" t="s">
        <v>381</v>
      </c>
      <c r="J109" s="83"/>
      <c r="K109" s="84"/>
      <c r="L109" s="85"/>
    </row>
    <row r="110" spans="1:12" x14ac:dyDescent="0.25">
      <c r="A110" s="93" t="s">
        <v>13</v>
      </c>
      <c r="B110" s="47" t="s">
        <v>200</v>
      </c>
      <c r="C110" s="48"/>
      <c r="D110" s="47" t="s">
        <v>206</v>
      </c>
      <c r="E110" s="48"/>
      <c r="F110" s="47">
        <v>2</v>
      </c>
      <c r="G110" s="48" t="s">
        <v>594</v>
      </c>
      <c r="H110" s="48" t="s">
        <v>430</v>
      </c>
      <c r="I110" s="87" t="s">
        <v>381</v>
      </c>
      <c r="J110" s="88"/>
      <c r="K110" s="89"/>
      <c r="L110" s="54"/>
    </row>
    <row r="111" spans="1:12" x14ac:dyDescent="0.25">
      <c r="A111" s="92" t="s">
        <v>13</v>
      </c>
      <c r="B111" s="79" t="s">
        <v>200</v>
      </c>
      <c r="C111" s="80"/>
      <c r="D111" s="79" t="s">
        <v>208</v>
      </c>
      <c r="E111" s="80" t="s">
        <v>595</v>
      </c>
      <c r="F111" s="81">
        <v>1</v>
      </c>
      <c r="G111" s="80" t="s">
        <v>596</v>
      </c>
      <c r="H111" s="80" t="s">
        <v>593</v>
      </c>
      <c r="I111" s="82" t="s">
        <v>381</v>
      </c>
      <c r="J111" s="83"/>
      <c r="K111" s="84"/>
      <c r="L111" s="85"/>
    </row>
    <row r="112" spans="1:12" x14ac:dyDescent="0.25">
      <c r="A112" s="92" t="s">
        <v>13</v>
      </c>
      <c r="B112" s="79" t="s">
        <v>210</v>
      </c>
      <c r="C112" s="80" t="s">
        <v>211</v>
      </c>
      <c r="D112" s="79" t="s">
        <v>214</v>
      </c>
      <c r="E112" s="80" t="s">
        <v>597</v>
      </c>
      <c r="F112" s="81">
        <v>1</v>
      </c>
      <c r="G112" s="80" t="s">
        <v>598</v>
      </c>
      <c r="H112" s="80" t="s">
        <v>599</v>
      </c>
      <c r="I112" s="82" t="s">
        <v>381</v>
      </c>
      <c r="J112" s="83"/>
      <c r="K112" s="84"/>
      <c r="L112" s="85"/>
    </row>
    <row r="113" spans="1:12" x14ac:dyDescent="0.25">
      <c r="A113" s="93" t="s">
        <v>13</v>
      </c>
      <c r="B113" s="47" t="s">
        <v>210</v>
      </c>
      <c r="C113" s="48"/>
      <c r="D113" s="47" t="s">
        <v>214</v>
      </c>
      <c r="E113" s="48"/>
      <c r="F113" s="47">
        <v>2</v>
      </c>
      <c r="G113" s="48" t="s">
        <v>228</v>
      </c>
      <c r="H113" s="48" t="s">
        <v>600</v>
      </c>
      <c r="I113" s="87" t="s">
        <v>381</v>
      </c>
      <c r="J113" s="88"/>
      <c r="K113" s="89"/>
      <c r="L113" s="54"/>
    </row>
    <row r="114" spans="1:12" ht="25.5" x14ac:dyDescent="0.25">
      <c r="A114" s="92" t="s">
        <v>13</v>
      </c>
      <c r="B114" s="79" t="s">
        <v>216</v>
      </c>
      <c r="C114" s="80" t="s">
        <v>217</v>
      </c>
      <c r="D114" s="79" t="s">
        <v>220</v>
      </c>
      <c r="E114" s="80" t="s">
        <v>601</v>
      </c>
      <c r="F114" s="81">
        <v>1</v>
      </c>
      <c r="G114" s="80" t="s">
        <v>602</v>
      </c>
      <c r="H114" s="80" t="s">
        <v>603</v>
      </c>
      <c r="I114" s="82" t="s">
        <v>381</v>
      </c>
      <c r="J114" s="83"/>
      <c r="K114" s="84"/>
      <c r="L114" s="85"/>
    </row>
    <row r="115" spans="1:12" x14ac:dyDescent="0.25">
      <c r="A115" s="92" t="s">
        <v>13</v>
      </c>
      <c r="B115" s="79" t="s">
        <v>216</v>
      </c>
      <c r="C115" s="80"/>
      <c r="D115" s="79" t="s">
        <v>222</v>
      </c>
      <c r="E115" s="80" t="s">
        <v>604</v>
      </c>
      <c r="F115" s="81">
        <v>1</v>
      </c>
      <c r="G115" s="80" t="s">
        <v>605</v>
      </c>
      <c r="H115" s="80" t="s">
        <v>603</v>
      </c>
      <c r="I115" s="82" t="s">
        <v>381</v>
      </c>
      <c r="J115" s="83"/>
      <c r="K115" s="84"/>
      <c r="L115" s="85"/>
    </row>
    <row r="116" spans="1:12" x14ac:dyDescent="0.25">
      <c r="A116" s="93" t="s">
        <v>13</v>
      </c>
      <c r="B116" s="47" t="s">
        <v>216</v>
      </c>
      <c r="C116" s="48"/>
      <c r="D116" s="47" t="s">
        <v>222</v>
      </c>
      <c r="E116" s="48"/>
      <c r="F116" s="47">
        <v>2</v>
      </c>
      <c r="G116" s="48" t="s">
        <v>606</v>
      </c>
      <c r="H116" s="48" t="s">
        <v>607</v>
      </c>
      <c r="I116" s="87" t="s">
        <v>381</v>
      </c>
      <c r="J116" s="88"/>
      <c r="K116" s="89"/>
      <c r="L116" s="54"/>
    </row>
    <row r="117" spans="1:12" x14ac:dyDescent="0.25">
      <c r="A117" s="92" t="s">
        <v>13</v>
      </c>
      <c r="B117" s="79" t="s">
        <v>216</v>
      </c>
      <c r="C117" s="80"/>
      <c r="D117" s="79" t="s">
        <v>224</v>
      </c>
      <c r="E117" s="80" t="s">
        <v>608</v>
      </c>
      <c r="F117" s="81">
        <v>1</v>
      </c>
      <c r="G117" s="80" t="s">
        <v>609</v>
      </c>
      <c r="H117" s="80" t="s">
        <v>603</v>
      </c>
      <c r="I117" s="82" t="s">
        <v>381</v>
      </c>
      <c r="J117" s="83"/>
      <c r="K117" s="84"/>
      <c r="L117" s="85"/>
    </row>
    <row r="118" spans="1:12" x14ac:dyDescent="0.25">
      <c r="A118" s="93" t="s">
        <v>13</v>
      </c>
      <c r="B118" s="47" t="s">
        <v>216</v>
      </c>
      <c r="C118" s="48"/>
      <c r="D118" s="47" t="s">
        <v>224</v>
      </c>
      <c r="E118" s="48"/>
      <c r="F118" s="47">
        <v>2</v>
      </c>
      <c r="G118" s="48" t="s">
        <v>610</v>
      </c>
      <c r="H118" s="48" t="s">
        <v>547</v>
      </c>
      <c r="I118" s="87" t="s">
        <v>381</v>
      </c>
      <c r="J118" s="88"/>
      <c r="K118" s="89"/>
      <c r="L118" s="54"/>
    </row>
    <row r="119" spans="1:12" x14ac:dyDescent="0.25">
      <c r="A119" s="92" t="s">
        <v>13</v>
      </c>
      <c r="B119" s="79" t="s">
        <v>226</v>
      </c>
      <c r="C119" s="80" t="s">
        <v>227</v>
      </c>
      <c r="D119" s="79" t="s">
        <v>229</v>
      </c>
      <c r="E119" s="80" t="s">
        <v>611</v>
      </c>
      <c r="F119" s="81">
        <v>1</v>
      </c>
      <c r="G119" s="80" t="s">
        <v>612</v>
      </c>
      <c r="H119" s="80" t="s">
        <v>613</v>
      </c>
      <c r="I119" s="82" t="s">
        <v>381</v>
      </c>
      <c r="J119" s="83"/>
      <c r="K119" s="84"/>
      <c r="L119" s="85"/>
    </row>
    <row r="120" spans="1:12" x14ac:dyDescent="0.25">
      <c r="A120" s="93" t="s">
        <v>13</v>
      </c>
      <c r="B120" s="47" t="s">
        <v>226</v>
      </c>
      <c r="C120" s="48"/>
      <c r="D120" s="47" t="s">
        <v>229</v>
      </c>
      <c r="E120" s="48"/>
      <c r="F120" s="47">
        <v>2</v>
      </c>
      <c r="G120" s="48" t="s">
        <v>228</v>
      </c>
      <c r="H120" s="48" t="s">
        <v>600</v>
      </c>
      <c r="I120" s="87" t="s">
        <v>381</v>
      </c>
      <c r="J120" s="88"/>
      <c r="K120" s="89"/>
      <c r="L120" s="54"/>
    </row>
    <row r="121" spans="1:12" x14ac:dyDescent="0.25">
      <c r="A121" s="92" t="s">
        <v>13</v>
      </c>
      <c r="B121" s="79" t="s">
        <v>231</v>
      </c>
      <c r="C121" s="80" t="s">
        <v>232</v>
      </c>
      <c r="D121" s="79" t="s">
        <v>235</v>
      </c>
      <c r="E121" s="80" t="s">
        <v>614</v>
      </c>
      <c r="F121" s="81">
        <v>1</v>
      </c>
      <c r="G121" s="80" t="s">
        <v>615</v>
      </c>
      <c r="H121" s="80" t="s">
        <v>616</v>
      </c>
      <c r="I121" s="82" t="s">
        <v>381</v>
      </c>
      <c r="J121" s="83"/>
      <c r="K121" s="84"/>
      <c r="L121" s="85"/>
    </row>
    <row r="122" spans="1:12" x14ac:dyDescent="0.25">
      <c r="A122" s="92" t="s">
        <v>13</v>
      </c>
      <c r="B122" s="79" t="s">
        <v>231</v>
      </c>
      <c r="C122" s="80"/>
      <c r="D122" s="79" t="s">
        <v>237</v>
      </c>
      <c r="E122" s="80" t="s">
        <v>617</v>
      </c>
      <c r="F122" s="81">
        <v>1</v>
      </c>
      <c r="G122" s="80" t="s">
        <v>618</v>
      </c>
      <c r="H122" s="80" t="s">
        <v>535</v>
      </c>
      <c r="I122" s="82" t="s">
        <v>381</v>
      </c>
      <c r="J122" s="83"/>
      <c r="K122" s="84"/>
      <c r="L122" s="85"/>
    </row>
    <row r="123" spans="1:12" x14ac:dyDescent="0.25">
      <c r="A123" s="93" t="s">
        <v>13</v>
      </c>
      <c r="B123" s="47" t="s">
        <v>231</v>
      </c>
      <c r="C123" s="48"/>
      <c r="D123" s="47" t="s">
        <v>237</v>
      </c>
      <c r="E123" s="48"/>
      <c r="F123" s="47">
        <v>2</v>
      </c>
      <c r="G123" s="48" t="s">
        <v>234</v>
      </c>
      <c r="H123" s="48" t="s">
        <v>619</v>
      </c>
      <c r="I123" s="87" t="s">
        <v>381</v>
      </c>
      <c r="J123" s="88"/>
      <c r="K123" s="89"/>
      <c r="L123" s="54"/>
    </row>
    <row r="124" spans="1:12" x14ac:dyDescent="0.25">
      <c r="A124" s="3" t="s">
        <v>239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25">
      <c r="A125" s="94" t="s">
        <v>15</v>
      </c>
      <c r="B125" s="79" t="s">
        <v>240</v>
      </c>
      <c r="C125" s="80" t="s">
        <v>241</v>
      </c>
      <c r="D125" s="79" t="s">
        <v>243</v>
      </c>
      <c r="E125" s="80" t="s">
        <v>620</v>
      </c>
      <c r="F125" s="81">
        <v>1</v>
      </c>
      <c r="G125" s="80" t="s">
        <v>621</v>
      </c>
      <c r="H125" s="80" t="s">
        <v>435</v>
      </c>
      <c r="I125" s="82" t="s">
        <v>381</v>
      </c>
      <c r="J125" s="83"/>
      <c r="K125" s="84"/>
      <c r="L125" s="85"/>
    </row>
    <row r="126" spans="1:12" x14ac:dyDescent="0.25">
      <c r="A126" s="95" t="s">
        <v>15</v>
      </c>
      <c r="B126" s="47" t="s">
        <v>240</v>
      </c>
      <c r="C126" s="48"/>
      <c r="D126" s="47" t="s">
        <v>243</v>
      </c>
      <c r="E126" s="48"/>
      <c r="F126" s="47">
        <v>2</v>
      </c>
      <c r="G126" s="48" t="s">
        <v>622</v>
      </c>
      <c r="H126" s="48" t="s">
        <v>489</v>
      </c>
      <c r="I126" s="87" t="s">
        <v>381</v>
      </c>
      <c r="J126" s="88"/>
      <c r="K126" s="89"/>
      <c r="L126" s="54"/>
    </row>
    <row r="127" spans="1:12" x14ac:dyDescent="0.25">
      <c r="A127" s="94" t="s">
        <v>15</v>
      </c>
      <c r="B127" s="79" t="s">
        <v>240</v>
      </c>
      <c r="C127" s="80"/>
      <c r="D127" s="79" t="s">
        <v>245</v>
      </c>
      <c r="E127" s="80" t="s">
        <v>623</v>
      </c>
      <c r="F127" s="81">
        <v>1</v>
      </c>
      <c r="G127" s="80" t="s">
        <v>624</v>
      </c>
      <c r="H127" s="80" t="s">
        <v>625</v>
      </c>
      <c r="I127" s="82" t="s">
        <v>381</v>
      </c>
      <c r="J127" s="83"/>
      <c r="K127" s="84"/>
      <c r="L127" s="85"/>
    </row>
    <row r="128" spans="1:12" x14ac:dyDescent="0.25">
      <c r="A128" s="95" t="s">
        <v>15</v>
      </c>
      <c r="B128" s="47" t="s">
        <v>240</v>
      </c>
      <c r="C128" s="48"/>
      <c r="D128" s="47" t="s">
        <v>245</v>
      </c>
      <c r="E128" s="48"/>
      <c r="F128" s="47">
        <v>2</v>
      </c>
      <c r="G128" s="48" t="s">
        <v>626</v>
      </c>
      <c r="H128" s="48" t="s">
        <v>627</v>
      </c>
      <c r="I128" s="87" t="s">
        <v>381</v>
      </c>
      <c r="J128" s="88"/>
      <c r="K128" s="89"/>
      <c r="L128" s="54"/>
    </row>
    <row r="129" spans="1:12" x14ac:dyDescent="0.25">
      <c r="A129" s="94" t="s">
        <v>15</v>
      </c>
      <c r="B129" s="79" t="s">
        <v>240</v>
      </c>
      <c r="C129" s="80"/>
      <c r="D129" s="79" t="s">
        <v>247</v>
      </c>
      <c r="E129" s="80" t="s">
        <v>628</v>
      </c>
      <c r="F129" s="81">
        <v>1</v>
      </c>
      <c r="G129" s="80" t="s">
        <v>629</v>
      </c>
      <c r="H129" s="80" t="s">
        <v>630</v>
      </c>
      <c r="I129" s="82" t="s">
        <v>381</v>
      </c>
      <c r="J129" s="83"/>
      <c r="K129" s="84"/>
      <c r="L129" s="85"/>
    </row>
    <row r="130" spans="1:12" x14ac:dyDescent="0.25">
      <c r="A130" s="95" t="s">
        <v>15</v>
      </c>
      <c r="B130" s="47" t="s">
        <v>240</v>
      </c>
      <c r="C130" s="48"/>
      <c r="D130" s="47" t="s">
        <v>247</v>
      </c>
      <c r="E130" s="48"/>
      <c r="F130" s="47">
        <v>2</v>
      </c>
      <c r="G130" s="48" t="s">
        <v>631</v>
      </c>
      <c r="H130" s="48" t="s">
        <v>478</v>
      </c>
      <c r="I130" s="87" t="s">
        <v>381</v>
      </c>
      <c r="J130" s="88"/>
      <c r="K130" s="89"/>
      <c r="L130" s="54"/>
    </row>
    <row r="131" spans="1:12" x14ac:dyDescent="0.25">
      <c r="A131" s="94" t="s">
        <v>15</v>
      </c>
      <c r="B131" s="79" t="s">
        <v>249</v>
      </c>
      <c r="C131" s="80" t="s">
        <v>250</v>
      </c>
      <c r="D131" s="79" t="s">
        <v>252</v>
      </c>
      <c r="E131" s="80" t="s">
        <v>632</v>
      </c>
      <c r="F131" s="81">
        <v>1</v>
      </c>
      <c r="G131" s="80" t="s">
        <v>633</v>
      </c>
      <c r="H131" s="80" t="s">
        <v>470</v>
      </c>
      <c r="I131" s="82" t="s">
        <v>381</v>
      </c>
      <c r="J131" s="83"/>
      <c r="K131" s="84"/>
      <c r="L131" s="85"/>
    </row>
    <row r="132" spans="1:12" x14ac:dyDescent="0.25">
      <c r="A132" s="94" t="s">
        <v>15</v>
      </c>
      <c r="B132" s="79" t="s">
        <v>249</v>
      </c>
      <c r="C132" s="80"/>
      <c r="D132" s="79" t="s">
        <v>254</v>
      </c>
      <c r="E132" s="80" t="s">
        <v>634</v>
      </c>
      <c r="F132" s="81">
        <v>1</v>
      </c>
      <c r="G132" s="80" t="s">
        <v>635</v>
      </c>
      <c r="H132" s="80" t="s">
        <v>636</v>
      </c>
      <c r="I132" s="82" t="s">
        <v>381</v>
      </c>
      <c r="J132" s="83"/>
      <c r="K132" s="84"/>
      <c r="L132" s="85"/>
    </row>
    <row r="133" spans="1:12" x14ac:dyDescent="0.25">
      <c r="A133" s="95" t="s">
        <v>15</v>
      </c>
      <c r="B133" s="47" t="s">
        <v>249</v>
      </c>
      <c r="C133" s="48"/>
      <c r="D133" s="47" t="s">
        <v>254</v>
      </c>
      <c r="E133" s="48"/>
      <c r="F133" s="47">
        <v>2</v>
      </c>
      <c r="G133" s="48" t="s">
        <v>637</v>
      </c>
      <c r="H133" s="48" t="s">
        <v>409</v>
      </c>
      <c r="I133" s="87" t="s">
        <v>381</v>
      </c>
      <c r="J133" s="88"/>
      <c r="K133" s="89"/>
      <c r="L133" s="54"/>
    </row>
    <row r="134" spans="1:12" x14ac:dyDescent="0.25">
      <c r="A134" s="94" t="s">
        <v>15</v>
      </c>
      <c r="B134" s="79" t="s">
        <v>256</v>
      </c>
      <c r="C134" s="80" t="s">
        <v>257</v>
      </c>
      <c r="D134" s="79" t="s">
        <v>259</v>
      </c>
      <c r="E134" s="80" t="s">
        <v>638</v>
      </c>
      <c r="F134" s="81">
        <v>1</v>
      </c>
      <c r="G134" s="80" t="s">
        <v>639</v>
      </c>
      <c r="H134" s="80" t="s">
        <v>640</v>
      </c>
      <c r="I134" s="82" t="s">
        <v>381</v>
      </c>
      <c r="J134" s="83"/>
      <c r="K134" s="84"/>
      <c r="L134" s="85"/>
    </row>
    <row r="135" spans="1:12" x14ac:dyDescent="0.25">
      <c r="A135" s="95" t="s">
        <v>15</v>
      </c>
      <c r="B135" s="47" t="s">
        <v>256</v>
      </c>
      <c r="C135" s="48"/>
      <c r="D135" s="47" t="s">
        <v>259</v>
      </c>
      <c r="E135" s="48"/>
      <c r="F135" s="47">
        <v>2</v>
      </c>
      <c r="G135" s="48" t="s">
        <v>641</v>
      </c>
      <c r="H135" s="48" t="s">
        <v>642</v>
      </c>
      <c r="I135" s="87" t="s">
        <v>381</v>
      </c>
      <c r="J135" s="88"/>
      <c r="K135" s="89"/>
      <c r="L135" s="54"/>
    </row>
    <row r="136" spans="1:12" x14ac:dyDescent="0.25">
      <c r="A136" s="95" t="s">
        <v>15</v>
      </c>
      <c r="B136" s="47" t="s">
        <v>256</v>
      </c>
      <c r="C136" s="48"/>
      <c r="D136" s="47" t="s">
        <v>259</v>
      </c>
      <c r="E136" s="48"/>
      <c r="F136" s="47">
        <v>3</v>
      </c>
      <c r="G136" s="48" t="s">
        <v>643</v>
      </c>
      <c r="H136" s="48" t="s">
        <v>644</v>
      </c>
      <c r="I136" s="87" t="s">
        <v>381</v>
      </c>
      <c r="J136" s="88"/>
      <c r="K136" s="89"/>
      <c r="L136" s="54"/>
    </row>
    <row r="137" spans="1:12" ht="25.5" x14ac:dyDescent="0.25">
      <c r="A137" s="94" t="s">
        <v>15</v>
      </c>
      <c r="B137" s="79" t="s">
        <v>261</v>
      </c>
      <c r="C137" s="80" t="s">
        <v>262</v>
      </c>
      <c r="D137" s="79" t="s">
        <v>265</v>
      </c>
      <c r="E137" s="80" t="s">
        <v>645</v>
      </c>
      <c r="F137" s="81">
        <v>1</v>
      </c>
      <c r="G137" s="80" t="s">
        <v>646</v>
      </c>
      <c r="H137" s="80" t="s">
        <v>647</v>
      </c>
      <c r="I137" s="82" t="s">
        <v>381</v>
      </c>
      <c r="J137" s="83"/>
      <c r="K137" s="84"/>
      <c r="L137" s="85"/>
    </row>
    <row r="138" spans="1:12" x14ac:dyDescent="0.25">
      <c r="A138" s="95" t="s">
        <v>15</v>
      </c>
      <c r="B138" s="47" t="s">
        <v>261</v>
      </c>
      <c r="C138" s="48"/>
      <c r="D138" s="47" t="s">
        <v>265</v>
      </c>
      <c r="E138" s="48"/>
      <c r="F138" s="47">
        <v>2</v>
      </c>
      <c r="G138" s="48" t="s">
        <v>648</v>
      </c>
      <c r="H138" s="48" t="s">
        <v>475</v>
      </c>
      <c r="I138" s="87" t="s">
        <v>381</v>
      </c>
      <c r="J138" s="88"/>
      <c r="K138" s="89"/>
      <c r="L138" s="54"/>
    </row>
    <row r="139" spans="1:12" x14ac:dyDescent="0.25">
      <c r="A139" s="94" t="s">
        <v>15</v>
      </c>
      <c r="B139" s="79" t="s">
        <v>261</v>
      </c>
      <c r="C139" s="80"/>
      <c r="D139" s="79" t="s">
        <v>267</v>
      </c>
      <c r="E139" s="80" t="s">
        <v>649</v>
      </c>
      <c r="F139" s="81">
        <v>1</v>
      </c>
      <c r="G139" s="80" t="s">
        <v>650</v>
      </c>
      <c r="H139" s="80" t="s">
        <v>470</v>
      </c>
      <c r="I139" s="82" t="s">
        <v>381</v>
      </c>
      <c r="J139" s="83"/>
      <c r="K139" s="84"/>
      <c r="L139" s="85"/>
    </row>
    <row r="140" spans="1:12" x14ac:dyDescent="0.25">
      <c r="A140" s="95" t="s">
        <v>15</v>
      </c>
      <c r="B140" s="47" t="s">
        <v>261</v>
      </c>
      <c r="C140" s="48"/>
      <c r="D140" s="47" t="s">
        <v>267</v>
      </c>
      <c r="E140" s="48"/>
      <c r="F140" s="47">
        <v>2</v>
      </c>
      <c r="G140" s="48" t="s">
        <v>651</v>
      </c>
      <c r="H140" s="48" t="s">
        <v>475</v>
      </c>
      <c r="I140" s="87" t="s">
        <v>381</v>
      </c>
      <c r="J140" s="88"/>
      <c r="K140" s="89"/>
      <c r="L140" s="54"/>
    </row>
    <row r="141" spans="1:12" x14ac:dyDescent="0.25">
      <c r="A141" s="94" t="s">
        <v>15</v>
      </c>
      <c r="B141" s="79" t="s">
        <v>261</v>
      </c>
      <c r="C141" s="80"/>
      <c r="D141" s="79" t="s">
        <v>269</v>
      </c>
      <c r="E141" s="80" t="s">
        <v>652</v>
      </c>
      <c r="F141" s="81">
        <v>1</v>
      </c>
      <c r="G141" s="80" t="s">
        <v>653</v>
      </c>
      <c r="H141" s="80" t="s">
        <v>475</v>
      </c>
      <c r="I141" s="82" t="s">
        <v>381</v>
      </c>
      <c r="J141" s="83"/>
      <c r="K141" s="84"/>
      <c r="L141" s="85"/>
    </row>
    <row r="142" spans="1:12" x14ac:dyDescent="0.25">
      <c r="A142" s="95" t="s">
        <v>15</v>
      </c>
      <c r="B142" s="47" t="s">
        <v>261</v>
      </c>
      <c r="C142" s="48"/>
      <c r="D142" s="47" t="s">
        <v>269</v>
      </c>
      <c r="E142" s="48"/>
      <c r="F142" s="47">
        <v>2</v>
      </c>
      <c r="G142" s="48" t="s">
        <v>654</v>
      </c>
      <c r="H142" s="48" t="s">
        <v>475</v>
      </c>
      <c r="I142" s="87" t="s">
        <v>381</v>
      </c>
      <c r="J142" s="88"/>
      <c r="K142" s="89"/>
      <c r="L142" s="54"/>
    </row>
    <row r="143" spans="1:12" x14ac:dyDescent="0.25">
      <c r="A143" s="94" t="s">
        <v>15</v>
      </c>
      <c r="B143" s="79" t="s">
        <v>261</v>
      </c>
      <c r="C143" s="80"/>
      <c r="D143" s="79" t="s">
        <v>271</v>
      </c>
      <c r="E143" s="80" t="s">
        <v>655</v>
      </c>
      <c r="F143" s="81">
        <v>1</v>
      </c>
      <c r="G143" s="80" t="s">
        <v>656</v>
      </c>
      <c r="H143" s="80" t="s">
        <v>475</v>
      </c>
      <c r="I143" s="82" t="s">
        <v>381</v>
      </c>
      <c r="J143" s="83"/>
      <c r="K143" s="84"/>
      <c r="L143" s="85"/>
    </row>
    <row r="144" spans="1:12" x14ac:dyDescent="0.25">
      <c r="A144" s="95" t="s">
        <v>15</v>
      </c>
      <c r="B144" s="47" t="s">
        <v>261</v>
      </c>
      <c r="C144" s="48"/>
      <c r="D144" s="47" t="s">
        <v>271</v>
      </c>
      <c r="E144" s="48"/>
      <c r="F144" s="47">
        <v>2</v>
      </c>
      <c r="G144" s="48" t="s">
        <v>657</v>
      </c>
      <c r="H144" s="48" t="s">
        <v>475</v>
      </c>
      <c r="I144" s="87" t="s">
        <v>381</v>
      </c>
      <c r="J144" s="88"/>
      <c r="K144" s="89"/>
      <c r="L144" s="54"/>
    </row>
    <row r="145" spans="1:12" x14ac:dyDescent="0.25">
      <c r="A145" s="94" t="s">
        <v>15</v>
      </c>
      <c r="B145" s="79" t="s">
        <v>261</v>
      </c>
      <c r="C145" s="80"/>
      <c r="D145" s="79" t="s">
        <v>273</v>
      </c>
      <c r="E145" s="80" t="s">
        <v>658</v>
      </c>
      <c r="F145" s="81">
        <v>1</v>
      </c>
      <c r="G145" s="80" t="s">
        <v>659</v>
      </c>
      <c r="H145" s="80" t="s">
        <v>409</v>
      </c>
      <c r="I145" s="82" t="s">
        <v>381</v>
      </c>
      <c r="J145" s="83"/>
      <c r="K145" s="84"/>
      <c r="L145" s="85"/>
    </row>
    <row r="146" spans="1:12" x14ac:dyDescent="0.25">
      <c r="A146" s="94" t="s">
        <v>15</v>
      </c>
      <c r="B146" s="79" t="s">
        <v>275</v>
      </c>
      <c r="C146" s="80" t="s">
        <v>276</v>
      </c>
      <c r="D146" s="79" t="s">
        <v>278</v>
      </c>
      <c r="E146" s="80" t="s">
        <v>660</v>
      </c>
      <c r="F146" s="81">
        <v>1</v>
      </c>
      <c r="G146" s="80" t="s">
        <v>661</v>
      </c>
      <c r="H146" s="80" t="s">
        <v>662</v>
      </c>
      <c r="I146" s="82" t="s">
        <v>381</v>
      </c>
      <c r="J146" s="83"/>
      <c r="K146" s="84"/>
      <c r="L146" s="85"/>
    </row>
    <row r="147" spans="1:12" x14ac:dyDescent="0.25">
      <c r="A147" s="95" t="s">
        <v>15</v>
      </c>
      <c r="B147" s="47" t="s">
        <v>275</v>
      </c>
      <c r="C147" s="48"/>
      <c r="D147" s="47" t="s">
        <v>278</v>
      </c>
      <c r="E147" s="48"/>
      <c r="F147" s="47">
        <v>2</v>
      </c>
      <c r="G147" s="48" t="s">
        <v>663</v>
      </c>
      <c r="H147" s="48" t="s">
        <v>664</v>
      </c>
      <c r="I147" s="87" t="s">
        <v>381</v>
      </c>
      <c r="J147" s="88"/>
      <c r="K147" s="89"/>
      <c r="L147" s="54"/>
    </row>
    <row r="148" spans="1:12" x14ac:dyDescent="0.25">
      <c r="A148" s="94" t="s">
        <v>15</v>
      </c>
      <c r="B148" s="79" t="s">
        <v>275</v>
      </c>
      <c r="C148" s="80"/>
      <c r="D148" s="79" t="s">
        <v>280</v>
      </c>
      <c r="E148" s="80" t="s">
        <v>665</v>
      </c>
      <c r="F148" s="81">
        <v>1</v>
      </c>
      <c r="G148" s="80" t="s">
        <v>666</v>
      </c>
      <c r="H148" s="80" t="s">
        <v>667</v>
      </c>
      <c r="I148" s="82" t="s">
        <v>381</v>
      </c>
      <c r="J148" s="83"/>
      <c r="K148" s="84"/>
      <c r="L148" s="85"/>
    </row>
    <row r="149" spans="1:12" x14ac:dyDescent="0.25">
      <c r="A149" s="94" t="s">
        <v>15</v>
      </c>
      <c r="B149" s="79" t="s">
        <v>145</v>
      </c>
      <c r="C149" s="80" t="s">
        <v>282</v>
      </c>
      <c r="D149" s="79" t="s">
        <v>285</v>
      </c>
      <c r="E149" s="80" t="s">
        <v>668</v>
      </c>
      <c r="F149" s="81">
        <v>1</v>
      </c>
      <c r="G149" s="80" t="s">
        <v>669</v>
      </c>
      <c r="H149" s="80" t="s">
        <v>670</v>
      </c>
      <c r="I149" s="82" t="s">
        <v>381</v>
      </c>
      <c r="J149" s="83"/>
      <c r="K149" s="84"/>
      <c r="L149" s="85"/>
    </row>
    <row r="150" spans="1:12" x14ac:dyDescent="0.25">
      <c r="A150" s="95" t="s">
        <v>15</v>
      </c>
      <c r="B150" s="47" t="s">
        <v>145</v>
      </c>
      <c r="C150" s="48"/>
      <c r="D150" s="47" t="s">
        <v>285</v>
      </c>
      <c r="E150" s="48"/>
      <c r="F150" s="47">
        <v>2</v>
      </c>
      <c r="G150" s="48" t="s">
        <v>671</v>
      </c>
      <c r="H150" s="48" t="s">
        <v>419</v>
      </c>
      <c r="I150" s="87" t="s">
        <v>381</v>
      </c>
      <c r="J150" s="88"/>
      <c r="K150" s="89"/>
      <c r="L150" s="54"/>
    </row>
    <row r="151" spans="1:12" x14ac:dyDescent="0.25">
      <c r="A151" s="94" t="s">
        <v>15</v>
      </c>
      <c r="B151" s="79" t="s">
        <v>145</v>
      </c>
      <c r="C151" s="80"/>
      <c r="D151" s="79" t="s">
        <v>287</v>
      </c>
      <c r="E151" s="80" t="s">
        <v>672</v>
      </c>
      <c r="F151" s="81">
        <v>1</v>
      </c>
      <c r="G151" s="80" t="s">
        <v>673</v>
      </c>
      <c r="H151" s="80" t="s">
        <v>417</v>
      </c>
      <c r="I151" s="82" t="s">
        <v>381</v>
      </c>
      <c r="J151" s="83"/>
      <c r="K151" s="84"/>
      <c r="L151" s="85"/>
    </row>
    <row r="152" spans="1:12" x14ac:dyDescent="0.25">
      <c r="A152" s="95" t="s">
        <v>15</v>
      </c>
      <c r="B152" s="47" t="s">
        <v>145</v>
      </c>
      <c r="C152" s="48"/>
      <c r="D152" s="47" t="s">
        <v>287</v>
      </c>
      <c r="E152" s="48"/>
      <c r="F152" s="47">
        <v>2</v>
      </c>
      <c r="G152" s="48" t="s">
        <v>674</v>
      </c>
      <c r="H152" s="48" t="s">
        <v>475</v>
      </c>
      <c r="I152" s="87" t="s">
        <v>381</v>
      </c>
      <c r="J152" s="88"/>
      <c r="K152" s="89"/>
      <c r="L152" s="54"/>
    </row>
    <row r="153" spans="1:12" x14ac:dyDescent="0.25">
      <c r="A153" s="94" t="s">
        <v>15</v>
      </c>
      <c r="B153" s="79" t="s">
        <v>145</v>
      </c>
      <c r="C153" s="80"/>
      <c r="D153" s="79" t="s">
        <v>289</v>
      </c>
      <c r="E153" s="80" t="s">
        <v>675</v>
      </c>
      <c r="F153" s="81">
        <v>1</v>
      </c>
      <c r="G153" s="80" t="s">
        <v>676</v>
      </c>
      <c r="H153" s="80" t="s">
        <v>677</v>
      </c>
      <c r="I153" s="82" t="s">
        <v>381</v>
      </c>
      <c r="J153" s="83"/>
      <c r="K153" s="84"/>
      <c r="L153" s="85"/>
    </row>
    <row r="154" spans="1:12" ht="25.5" x14ac:dyDescent="0.25">
      <c r="A154" s="94" t="s">
        <v>15</v>
      </c>
      <c r="B154" s="79" t="s">
        <v>291</v>
      </c>
      <c r="C154" s="80" t="s">
        <v>292</v>
      </c>
      <c r="D154" s="79" t="s">
        <v>294</v>
      </c>
      <c r="E154" s="80" t="s">
        <v>678</v>
      </c>
      <c r="F154" s="81">
        <v>1</v>
      </c>
      <c r="G154" s="80" t="s">
        <v>679</v>
      </c>
      <c r="H154" s="80" t="s">
        <v>593</v>
      </c>
      <c r="I154" s="82" t="s">
        <v>381</v>
      </c>
      <c r="J154" s="83"/>
      <c r="K154" s="84"/>
      <c r="L154" s="85"/>
    </row>
    <row r="155" spans="1:12" x14ac:dyDescent="0.25">
      <c r="A155" s="94" t="s">
        <v>15</v>
      </c>
      <c r="B155" s="79" t="s">
        <v>291</v>
      </c>
      <c r="C155" s="80"/>
      <c r="D155" s="79" t="s">
        <v>296</v>
      </c>
      <c r="E155" s="80" t="s">
        <v>680</v>
      </c>
      <c r="F155" s="81">
        <v>1</v>
      </c>
      <c r="G155" s="80" t="s">
        <v>681</v>
      </c>
      <c r="H155" s="80" t="s">
        <v>593</v>
      </c>
      <c r="I155" s="82" t="s">
        <v>381</v>
      </c>
      <c r="J155" s="83"/>
      <c r="K155" s="84"/>
      <c r="L155" s="85"/>
    </row>
    <row r="156" spans="1:12" x14ac:dyDescent="0.25">
      <c r="A156" s="94" t="s">
        <v>15</v>
      </c>
      <c r="B156" s="79" t="s">
        <v>291</v>
      </c>
      <c r="C156" s="80"/>
      <c r="D156" s="79" t="s">
        <v>298</v>
      </c>
      <c r="E156" s="80" t="s">
        <v>682</v>
      </c>
      <c r="F156" s="81">
        <v>1</v>
      </c>
      <c r="G156" s="80" t="s">
        <v>683</v>
      </c>
      <c r="H156" s="80" t="s">
        <v>593</v>
      </c>
      <c r="I156" s="82" t="s">
        <v>381</v>
      </c>
      <c r="J156" s="83"/>
      <c r="K156" s="84"/>
      <c r="L156" s="85"/>
    </row>
    <row r="157" spans="1:12" x14ac:dyDescent="0.25">
      <c r="A157" s="95" t="s">
        <v>15</v>
      </c>
      <c r="B157" s="47" t="s">
        <v>291</v>
      </c>
      <c r="C157" s="48"/>
      <c r="D157" s="47" t="s">
        <v>298</v>
      </c>
      <c r="E157" s="48"/>
      <c r="F157" s="47">
        <v>2</v>
      </c>
      <c r="G157" s="48" t="s">
        <v>684</v>
      </c>
      <c r="H157" s="48" t="s">
        <v>593</v>
      </c>
      <c r="I157" s="87" t="s">
        <v>381</v>
      </c>
      <c r="J157" s="88"/>
      <c r="K157" s="89"/>
      <c r="L157" s="54"/>
    </row>
    <row r="158" spans="1:12" x14ac:dyDescent="0.25">
      <c r="A158" s="94" t="s">
        <v>15</v>
      </c>
      <c r="B158" s="79" t="s">
        <v>291</v>
      </c>
      <c r="C158" s="80"/>
      <c r="D158" s="79" t="s">
        <v>300</v>
      </c>
      <c r="E158" s="80" t="s">
        <v>685</v>
      </c>
      <c r="F158" s="81">
        <v>1</v>
      </c>
      <c r="G158" s="80" t="s">
        <v>686</v>
      </c>
      <c r="H158" s="80" t="s">
        <v>593</v>
      </c>
      <c r="I158" s="82" t="s">
        <v>381</v>
      </c>
      <c r="J158" s="83"/>
      <c r="K158" s="84"/>
      <c r="L158" s="85"/>
    </row>
    <row r="159" spans="1:12" x14ac:dyDescent="0.25">
      <c r="A159" s="95" t="s">
        <v>15</v>
      </c>
      <c r="B159" s="47" t="s">
        <v>291</v>
      </c>
      <c r="C159" s="48"/>
      <c r="D159" s="47" t="s">
        <v>300</v>
      </c>
      <c r="E159" s="48"/>
      <c r="F159" s="47">
        <v>2</v>
      </c>
      <c r="G159" s="48" t="s">
        <v>687</v>
      </c>
      <c r="H159" s="48" t="s">
        <v>484</v>
      </c>
      <c r="I159" s="87" t="s">
        <v>381</v>
      </c>
      <c r="J159" s="88"/>
      <c r="K159" s="89"/>
      <c r="L159" s="54"/>
    </row>
    <row r="160" spans="1:12" x14ac:dyDescent="0.25">
      <c r="A160" s="94" t="s">
        <v>15</v>
      </c>
      <c r="B160" s="79" t="s">
        <v>302</v>
      </c>
      <c r="C160" s="80" t="s">
        <v>303</v>
      </c>
      <c r="D160" s="79" t="s">
        <v>306</v>
      </c>
      <c r="E160" s="80" t="s">
        <v>688</v>
      </c>
      <c r="F160" s="81">
        <v>1</v>
      </c>
      <c r="G160" s="80" t="s">
        <v>689</v>
      </c>
      <c r="H160" s="80" t="s">
        <v>690</v>
      </c>
      <c r="I160" s="82" t="s">
        <v>381</v>
      </c>
      <c r="J160" s="83"/>
      <c r="K160" s="84"/>
      <c r="L160" s="85"/>
    </row>
    <row r="161" spans="1:12" x14ac:dyDescent="0.25">
      <c r="A161" s="95" t="s">
        <v>15</v>
      </c>
      <c r="B161" s="47" t="s">
        <v>302</v>
      </c>
      <c r="C161" s="48"/>
      <c r="D161" s="47" t="s">
        <v>306</v>
      </c>
      <c r="E161" s="48"/>
      <c r="F161" s="47">
        <v>2</v>
      </c>
      <c r="G161" s="48" t="s">
        <v>691</v>
      </c>
      <c r="H161" s="48" t="s">
        <v>692</v>
      </c>
      <c r="I161" s="87" t="s">
        <v>381</v>
      </c>
      <c r="J161" s="88"/>
      <c r="K161" s="89"/>
      <c r="L161" s="54"/>
    </row>
    <row r="162" spans="1:12" x14ac:dyDescent="0.25">
      <c r="A162" s="94" t="s">
        <v>15</v>
      </c>
      <c r="B162" s="79" t="s">
        <v>302</v>
      </c>
      <c r="C162" s="80"/>
      <c r="D162" s="79" t="s">
        <v>308</v>
      </c>
      <c r="E162" s="80" t="s">
        <v>693</v>
      </c>
      <c r="F162" s="81">
        <v>1</v>
      </c>
      <c r="G162" s="80" t="s">
        <v>694</v>
      </c>
      <c r="H162" s="80" t="s">
        <v>695</v>
      </c>
      <c r="I162" s="82" t="s">
        <v>381</v>
      </c>
      <c r="J162" s="83"/>
      <c r="K162" s="84"/>
      <c r="L162" s="85"/>
    </row>
    <row r="163" spans="1:12" x14ac:dyDescent="0.25">
      <c r="A163" s="94" t="s">
        <v>15</v>
      </c>
      <c r="B163" s="79" t="s">
        <v>310</v>
      </c>
      <c r="C163" s="80" t="s">
        <v>311</v>
      </c>
      <c r="D163" s="79" t="s">
        <v>314</v>
      </c>
      <c r="E163" s="80" t="s">
        <v>696</v>
      </c>
      <c r="F163" s="81">
        <v>1</v>
      </c>
      <c r="G163" s="80" t="s">
        <v>697</v>
      </c>
      <c r="H163" s="80" t="s">
        <v>698</v>
      </c>
      <c r="I163" s="82" t="s">
        <v>381</v>
      </c>
      <c r="J163" s="83"/>
      <c r="K163" s="84"/>
      <c r="L163" s="85"/>
    </row>
    <row r="164" spans="1:12" x14ac:dyDescent="0.25">
      <c r="A164" s="94" t="s">
        <v>15</v>
      </c>
      <c r="B164" s="79" t="s">
        <v>310</v>
      </c>
      <c r="C164" s="80"/>
      <c r="D164" s="79" t="s">
        <v>316</v>
      </c>
      <c r="E164" s="80" t="s">
        <v>699</v>
      </c>
      <c r="F164" s="81">
        <v>1</v>
      </c>
      <c r="G164" s="80" t="s">
        <v>700</v>
      </c>
      <c r="H164" s="80" t="s">
        <v>701</v>
      </c>
      <c r="I164" s="82" t="s">
        <v>381</v>
      </c>
      <c r="J164" s="83"/>
      <c r="K164" s="84"/>
      <c r="L164" s="85"/>
    </row>
    <row r="165" spans="1:12" x14ac:dyDescent="0.25">
      <c r="A165" s="3" t="s">
        <v>318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25">
      <c r="A166" s="78" t="s">
        <v>321</v>
      </c>
      <c r="B166" s="79" t="s">
        <v>319</v>
      </c>
      <c r="C166" s="80" t="s">
        <v>320</v>
      </c>
      <c r="D166" s="79" t="s">
        <v>319</v>
      </c>
      <c r="E166" s="80" t="s">
        <v>18</v>
      </c>
      <c r="F166" s="81">
        <v>1</v>
      </c>
      <c r="G166" s="80" t="s">
        <v>702</v>
      </c>
      <c r="H166" s="80" t="s">
        <v>703</v>
      </c>
      <c r="I166" s="82" t="s">
        <v>381</v>
      </c>
      <c r="J166" s="83"/>
      <c r="K166" s="84"/>
      <c r="L166" s="85"/>
    </row>
    <row r="167" spans="1:12" x14ac:dyDescent="0.25">
      <c r="A167" s="86" t="s">
        <v>321</v>
      </c>
      <c r="B167" s="47" t="s">
        <v>319</v>
      </c>
      <c r="C167" s="48"/>
      <c r="D167" s="47" t="s">
        <v>319</v>
      </c>
      <c r="E167" s="48"/>
      <c r="F167" s="47">
        <v>2</v>
      </c>
      <c r="G167" s="48" t="s">
        <v>704</v>
      </c>
      <c r="H167" s="48" t="s">
        <v>616</v>
      </c>
      <c r="I167" s="87" t="s">
        <v>381</v>
      </c>
      <c r="J167" s="88"/>
      <c r="K167" s="89"/>
      <c r="L167" s="54"/>
    </row>
    <row r="168" spans="1:12" x14ac:dyDescent="0.25">
      <c r="A168" s="86" t="s">
        <v>321</v>
      </c>
      <c r="B168" s="47" t="s">
        <v>319</v>
      </c>
      <c r="C168" s="48"/>
      <c r="D168" s="47" t="s">
        <v>319</v>
      </c>
      <c r="E168" s="48"/>
      <c r="F168" s="47">
        <v>3</v>
      </c>
      <c r="G168" s="48" t="s">
        <v>322</v>
      </c>
      <c r="H168" s="48" t="s">
        <v>705</v>
      </c>
      <c r="I168" s="87" t="s">
        <v>381</v>
      </c>
      <c r="J168" s="88"/>
      <c r="K168" s="89"/>
      <c r="L168" s="54"/>
    </row>
    <row r="169" spans="1:12" x14ac:dyDescent="0.25">
      <c r="A169" s="78" t="s">
        <v>324</v>
      </c>
      <c r="B169" s="79" t="s">
        <v>212</v>
      </c>
      <c r="C169" s="80" t="s">
        <v>323</v>
      </c>
      <c r="D169" s="79" t="s">
        <v>212</v>
      </c>
      <c r="E169" s="80" t="s">
        <v>18</v>
      </c>
      <c r="F169" s="81">
        <v>1</v>
      </c>
      <c r="G169" s="80" t="s">
        <v>706</v>
      </c>
      <c r="H169" s="80" t="s">
        <v>707</v>
      </c>
      <c r="I169" s="82" t="s">
        <v>381</v>
      </c>
      <c r="J169" s="83"/>
      <c r="K169" s="84"/>
      <c r="L169" s="85"/>
    </row>
    <row r="170" spans="1:12" x14ac:dyDescent="0.25">
      <c r="A170" s="86" t="s">
        <v>324</v>
      </c>
      <c r="B170" s="47" t="s">
        <v>212</v>
      </c>
      <c r="C170" s="48"/>
      <c r="D170" s="47" t="s">
        <v>212</v>
      </c>
      <c r="E170" s="48"/>
      <c r="F170" s="47">
        <v>2</v>
      </c>
      <c r="G170" s="48" t="s">
        <v>708</v>
      </c>
      <c r="H170" s="48" t="s">
        <v>709</v>
      </c>
      <c r="I170" s="87" t="s">
        <v>381</v>
      </c>
      <c r="J170" s="88"/>
      <c r="K170" s="89"/>
      <c r="L170" s="54"/>
    </row>
    <row r="171" spans="1:12" x14ac:dyDescent="0.25">
      <c r="A171" s="86" t="s">
        <v>324</v>
      </c>
      <c r="B171" s="47" t="s">
        <v>212</v>
      </c>
      <c r="C171" s="48"/>
      <c r="D171" s="47" t="s">
        <v>212</v>
      </c>
      <c r="E171" s="48"/>
      <c r="F171" s="47">
        <v>3</v>
      </c>
      <c r="G171" s="48" t="s">
        <v>710</v>
      </c>
      <c r="H171" s="48" t="s">
        <v>711</v>
      </c>
      <c r="I171" s="87" t="s">
        <v>381</v>
      </c>
      <c r="J171" s="88"/>
      <c r="K171" s="89"/>
      <c r="L171" s="54"/>
    </row>
    <row r="172" spans="1:12" x14ac:dyDescent="0.25">
      <c r="A172" s="78" t="s">
        <v>324</v>
      </c>
      <c r="B172" s="79" t="s">
        <v>326</v>
      </c>
      <c r="C172" s="80" t="s">
        <v>327</v>
      </c>
      <c r="D172" s="79" t="s">
        <v>326</v>
      </c>
      <c r="E172" s="80" t="s">
        <v>18</v>
      </c>
      <c r="F172" s="81">
        <v>1</v>
      </c>
      <c r="G172" s="80" t="s">
        <v>712</v>
      </c>
      <c r="H172" s="80" t="s">
        <v>713</v>
      </c>
      <c r="I172" s="82" t="s">
        <v>381</v>
      </c>
      <c r="J172" s="83"/>
      <c r="K172" s="84"/>
      <c r="L172" s="85"/>
    </row>
    <row r="173" spans="1:12" x14ac:dyDescent="0.25">
      <c r="A173" s="86" t="s">
        <v>324</v>
      </c>
      <c r="B173" s="47" t="s">
        <v>326</v>
      </c>
      <c r="C173" s="48"/>
      <c r="D173" s="47" t="s">
        <v>326</v>
      </c>
      <c r="E173" s="48"/>
      <c r="F173" s="47">
        <v>2</v>
      </c>
      <c r="G173" s="48" t="s">
        <v>714</v>
      </c>
      <c r="H173" s="48" t="s">
        <v>715</v>
      </c>
      <c r="I173" s="87" t="s">
        <v>381</v>
      </c>
      <c r="J173" s="88"/>
      <c r="K173" s="89"/>
      <c r="L173" s="54"/>
    </row>
    <row r="174" spans="1:12" x14ac:dyDescent="0.25">
      <c r="A174" s="78" t="s">
        <v>330</v>
      </c>
      <c r="B174" s="79" t="s">
        <v>312</v>
      </c>
      <c r="C174" s="80" t="s">
        <v>329</v>
      </c>
      <c r="D174" s="79" t="s">
        <v>312</v>
      </c>
      <c r="E174" s="80" t="s">
        <v>18</v>
      </c>
      <c r="F174" s="81">
        <v>1</v>
      </c>
      <c r="G174" s="80" t="s">
        <v>716</v>
      </c>
      <c r="H174" s="80" t="s">
        <v>717</v>
      </c>
      <c r="I174" s="82" t="s">
        <v>381</v>
      </c>
      <c r="J174" s="83"/>
      <c r="K174" s="84"/>
      <c r="L174" s="85"/>
    </row>
    <row r="175" spans="1:12" x14ac:dyDescent="0.25">
      <c r="A175" s="86" t="s">
        <v>330</v>
      </c>
      <c r="B175" s="47" t="s">
        <v>312</v>
      </c>
      <c r="C175" s="48"/>
      <c r="D175" s="47" t="s">
        <v>312</v>
      </c>
      <c r="E175" s="48"/>
      <c r="F175" s="47">
        <v>2</v>
      </c>
      <c r="G175" s="48" t="s">
        <v>718</v>
      </c>
      <c r="H175" s="48" t="s">
        <v>32</v>
      </c>
      <c r="I175" s="87" t="s">
        <v>381</v>
      </c>
      <c r="J175" s="88"/>
      <c r="K175" s="89"/>
      <c r="L175" s="54"/>
    </row>
    <row r="176" spans="1:12" x14ac:dyDescent="0.25">
      <c r="A176" s="86" t="s">
        <v>330</v>
      </c>
      <c r="B176" s="47" t="s">
        <v>312</v>
      </c>
      <c r="C176" s="48"/>
      <c r="D176" s="47" t="s">
        <v>312</v>
      </c>
      <c r="E176" s="48"/>
      <c r="F176" s="47">
        <v>3</v>
      </c>
      <c r="G176" s="48" t="s">
        <v>719</v>
      </c>
      <c r="H176" s="48" t="s">
        <v>542</v>
      </c>
      <c r="I176" s="87" t="s">
        <v>381</v>
      </c>
      <c r="J176" s="88"/>
      <c r="K176" s="89"/>
      <c r="L176" s="54"/>
    </row>
    <row r="177" spans="1:12" x14ac:dyDescent="0.25">
      <c r="A177" s="78" t="s">
        <v>324</v>
      </c>
      <c r="B177" s="79" t="s">
        <v>233</v>
      </c>
      <c r="C177" s="80" t="s">
        <v>333</v>
      </c>
      <c r="D177" s="79" t="s">
        <v>233</v>
      </c>
      <c r="E177" s="80" t="s">
        <v>18</v>
      </c>
      <c r="F177" s="81">
        <v>1</v>
      </c>
      <c r="G177" s="80" t="s">
        <v>720</v>
      </c>
      <c r="H177" s="80" t="s">
        <v>713</v>
      </c>
      <c r="I177" s="82" t="s">
        <v>381</v>
      </c>
      <c r="J177" s="83"/>
      <c r="K177" s="84"/>
      <c r="L177" s="85"/>
    </row>
    <row r="178" spans="1:12" x14ac:dyDescent="0.25">
      <c r="A178" s="86" t="s">
        <v>324</v>
      </c>
      <c r="B178" s="47" t="s">
        <v>233</v>
      </c>
      <c r="C178" s="48"/>
      <c r="D178" s="47" t="s">
        <v>233</v>
      </c>
      <c r="E178" s="48"/>
      <c r="F178" s="47">
        <v>2</v>
      </c>
      <c r="G178" s="48" t="s">
        <v>721</v>
      </c>
      <c r="H178" s="48" t="s">
        <v>722</v>
      </c>
      <c r="I178" s="87" t="s">
        <v>381</v>
      </c>
      <c r="J178" s="88"/>
      <c r="K178" s="89"/>
      <c r="L178" s="54"/>
    </row>
    <row r="179" spans="1:12" x14ac:dyDescent="0.25">
      <c r="A179" s="78" t="s">
        <v>338</v>
      </c>
      <c r="B179" s="79" t="s">
        <v>336</v>
      </c>
      <c r="C179" s="80" t="s">
        <v>337</v>
      </c>
      <c r="D179" s="79" t="s">
        <v>336</v>
      </c>
      <c r="E179" s="80" t="s">
        <v>18</v>
      </c>
      <c r="F179" s="81">
        <v>1</v>
      </c>
      <c r="G179" s="80" t="s">
        <v>723</v>
      </c>
      <c r="H179" s="80" t="s">
        <v>724</v>
      </c>
      <c r="I179" s="82" t="s">
        <v>381</v>
      </c>
      <c r="J179" s="83"/>
      <c r="K179" s="84"/>
      <c r="L179" s="85"/>
    </row>
    <row r="180" spans="1:12" x14ac:dyDescent="0.25">
      <c r="A180" s="86" t="s">
        <v>338</v>
      </c>
      <c r="B180" s="47" t="s">
        <v>336</v>
      </c>
      <c r="C180" s="48"/>
      <c r="D180" s="47" t="s">
        <v>336</v>
      </c>
      <c r="E180" s="48"/>
      <c r="F180" s="47">
        <v>2</v>
      </c>
      <c r="G180" s="48" t="s">
        <v>725</v>
      </c>
      <c r="H180" s="48" t="s">
        <v>726</v>
      </c>
      <c r="I180" s="87" t="s">
        <v>381</v>
      </c>
      <c r="J180" s="88"/>
      <c r="K180" s="89"/>
      <c r="L180" s="54"/>
    </row>
    <row r="181" spans="1:12" x14ac:dyDescent="0.25">
      <c r="A181" s="78" t="s">
        <v>342</v>
      </c>
      <c r="B181" s="79" t="s">
        <v>340</v>
      </c>
      <c r="C181" s="80" t="s">
        <v>341</v>
      </c>
      <c r="D181" s="79" t="s">
        <v>340</v>
      </c>
      <c r="E181" s="80" t="s">
        <v>18</v>
      </c>
      <c r="F181" s="81">
        <v>1</v>
      </c>
      <c r="G181" s="80" t="s">
        <v>727</v>
      </c>
      <c r="H181" s="80" t="s">
        <v>728</v>
      </c>
      <c r="I181" s="82" t="s">
        <v>381</v>
      </c>
      <c r="J181" s="83"/>
      <c r="K181" s="84"/>
      <c r="L181" s="85"/>
    </row>
    <row r="182" spans="1:12" x14ac:dyDescent="0.25">
      <c r="A182" s="86" t="s">
        <v>342</v>
      </c>
      <c r="B182" s="47" t="s">
        <v>340</v>
      </c>
      <c r="C182" s="48"/>
      <c r="D182" s="47" t="s">
        <v>340</v>
      </c>
      <c r="E182" s="48"/>
      <c r="F182" s="47">
        <v>2</v>
      </c>
      <c r="G182" s="48" t="s">
        <v>729</v>
      </c>
      <c r="H182" s="48" t="s">
        <v>730</v>
      </c>
      <c r="I182" s="87" t="s">
        <v>381</v>
      </c>
      <c r="J182" s="88"/>
      <c r="K182" s="89"/>
      <c r="L182" s="54"/>
    </row>
    <row r="183" spans="1:12" x14ac:dyDescent="0.25">
      <c r="A183" s="86" t="s">
        <v>342</v>
      </c>
      <c r="B183" s="47" t="s">
        <v>340</v>
      </c>
      <c r="C183" s="48"/>
      <c r="D183" s="47" t="s">
        <v>340</v>
      </c>
      <c r="E183" s="48"/>
      <c r="F183" s="47">
        <v>3</v>
      </c>
      <c r="G183" s="48" t="s">
        <v>731</v>
      </c>
      <c r="H183" s="48" t="s">
        <v>732</v>
      </c>
      <c r="I183" s="87" t="s">
        <v>381</v>
      </c>
      <c r="J183" s="88"/>
      <c r="K183" s="89"/>
      <c r="L183" s="54"/>
    </row>
    <row r="184" spans="1:12" x14ac:dyDescent="0.25">
      <c r="A184" s="3" t="s">
        <v>344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25">
      <c r="A185" s="78" t="s">
        <v>347</v>
      </c>
      <c r="B185" s="79" t="s">
        <v>345</v>
      </c>
      <c r="C185" s="80" t="s">
        <v>346</v>
      </c>
      <c r="D185" s="79" t="s">
        <v>345</v>
      </c>
      <c r="E185" s="80" t="s">
        <v>18</v>
      </c>
      <c r="F185" s="81">
        <v>1</v>
      </c>
      <c r="G185" s="80" t="s">
        <v>733</v>
      </c>
      <c r="H185" s="80" t="s">
        <v>619</v>
      </c>
      <c r="I185" s="82" t="s">
        <v>381</v>
      </c>
      <c r="J185" s="83"/>
      <c r="K185" s="84"/>
      <c r="L185" s="85"/>
    </row>
    <row r="186" spans="1:12" x14ac:dyDescent="0.25">
      <c r="A186" s="86" t="s">
        <v>347</v>
      </c>
      <c r="B186" s="47" t="s">
        <v>345</v>
      </c>
      <c r="C186" s="48"/>
      <c r="D186" s="47" t="s">
        <v>345</v>
      </c>
      <c r="E186" s="48"/>
      <c r="F186" s="47">
        <v>2</v>
      </c>
      <c r="G186" s="48" t="s">
        <v>734</v>
      </c>
      <c r="H186" s="48" t="s">
        <v>735</v>
      </c>
      <c r="I186" s="87" t="s">
        <v>381</v>
      </c>
      <c r="J186" s="88"/>
      <c r="K186" s="89"/>
      <c r="L186" s="54"/>
    </row>
    <row r="187" spans="1:12" x14ac:dyDescent="0.25">
      <c r="A187" s="86" t="s">
        <v>347</v>
      </c>
      <c r="B187" s="47" t="s">
        <v>345</v>
      </c>
      <c r="C187" s="48"/>
      <c r="D187" s="47" t="s">
        <v>345</v>
      </c>
      <c r="E187" s="48"/>
      <c r="F187" s="47">
        <v>3</v>
      </c>
      <c r="G187" s="48" t="s">
        <v>736</v>
      </c>
      <c r="H187" s="48" t="s">
        <v>737</v>
      </c>
      <c r="I187" s="87" t="s">
        <v>381</v>
      </c>
      <c r="J187" s="88"/>
      <c r="K187" s="89"/>
      <c r="L187" s="54"/>
    </row>
    <row r="188" spans="1:12" x14ac:dyDescent="0.25">
      <c r="A188" s="78" t="s">
        <v>352</v>
      </c>
      <c r="B188" s="79" t="s">
        <v>350</v>
      </c>
      <c r="C188" s="80" t="s">
        <v>351</v>
      </c>
      <c r="D188" s="79" t="s">
        <v>350</v>
      </c>
      <c r="E188" s="80" t="s">
        <v>18</v>
      </c>
      <c r="F188" s="81">
        <v>1</v>
      </c>
      <c r="G188" s="80" t="s">
        <v>738</v>
      </c>
      <c r="H188" s="80" t="s">
        <v>739</v>
      </c>
      <c r="I188" s="82" t="s">
        <v>381</v>
      </c>
      <c r="J188" s="83"/>
      <c r="K188" s="84"/>
      <c r="L188" s="85"/>
    </row>
    <row r="189" spans="1:12" x14ac:dyDescent="0.25">
      <c r="A189" s="86" t="s">
        <v>352</v>
      </c>
      <c r="B189" s="47" t="s">
        <v>350</v>
      </c>
      <c r="C189" s="48"/>
      <c r="D189" s="47" t="s">
        <v>350</v>
      </c>
      <c r="E189" s="48"/>
      <c r="F189" s="47">
        <v>2</v>
      </c>
      <c r="G189" s="48" t="s">
        <v>740</v>
      </c>
      <c r="H189" s="48" t="s">
        <v>741</v>
      </c>
      <c r="I189" s="87" t="s">
        <v>381</v>
      </c>
      <c r="J189" s="88"/>
      <c r="K189" s="89"/>
      <c r="L189" s="54"/>
    </row>
    <row r="190" spans="1:12" x14ac:dyDescent="0.25">
      <c r="A190" s="86" t="s">
        <v>352</v>
      </c>
      <c r="B190" s="47" t="s">
        <v>350</v>
      </c>
      <c r="C190" s="48"/>
      <c r="D190" s="47" t="s">
        <v>350</v>
      </c>
      <c r="E190" s="48"/>
      <c r="F190" s="47">
        <v>3</v>
      </c>
      <c r="G190" s="48" t="s">
        <v>742</v>
      </c>
      <c r="H190" s="48" t="s">
        <v>730</v>
      </c>
      <c r="I190" s="87" t="s">
        <v>381</v>
      </c>
      <c r="J190" s="88"/>
      <c r="K190" s="89"/>
      <c r="L190" s="54"/>
    </row>
    <row r="191" spans="1:12" x14ac:dyDescent="0.25">
      <c r="A191" s="78" t="s">
        <v>66</v>
      </c>
      <c r="B191" s="79" t="s">
        <v>355</v>
      </c>
      <c r="C191" s="80" t="s">
        <v>356</v>
      </c>
      <c r="D191" s="79" t="s">
        <v>355</v>
      </c>
      <c r="E191" s="80" t="s">
        <v>18</v>
      </c>
      <c r="F191" s="81">
        <v>1</v>
      </c>
      <c r="G191" s="80" t="s">
        <v>743</v>
      </c>
      <c r="H191" s="80" t="s">
        <v>737</v>
      </c>
      <c r="I191" s="82" t="s">
        <v>381</v>
      </c>
      <c r="J191" s="83"/>
      <c r="K191" s="84"/>
      <c r="L191" s="85"/>
    </row>
    <row r="192" spans="1:12" x14ac:dyDescent="0.25">
      <c r="A192" s="86" t="s">
        <v>66</v>
      </c>
      <c r="B192" s="47" t="s">
        <v>355</v>
      </c>
      <c r="C192" s="48"/>
      <c r="D192" s="47" t="s">
        <v>355</v>
      </c>
      <c r="E192" s="48"/>
      <c r="F192" s="47">
        <v>2</v>
      </c>
      <c r="G192" s="48" t="s">
        <v>744</v>
      </c>
      <c r="H192" s="48" t="s">
        <v>745</v>
      </c>
      <c r="I192" s="87" t="s">
        <v>381</v>
      </c>
      <c r="J192" s="88"/>
      <c r="K192" s="89"/>
      <c r="L192" s="54"/>
    </row>
  </sheetData>
  <autoFilter ref="A7:L192" xr:uid="{00000000-0009-0000-0000-000001000000}"/>
  <mergeCells count="10">
    <mergeCell ref="A21:L21"/>
    <mergeCell ref="A84:L84"/>
    <mergeCell ref="A124:L124"/>
    <mergeCell ref="A165:L165"/>
    <mergeCell ref="A184:L184"/>
    <mergeCell ref="A1:L1"/>
    <mergeCell ref="A2:L2"/>
    <mergeCell ref="A5:B5"/>
    <mergeCell ref="D5:E5"/>
    <mergeCell ref="A8:L8"/>
  </mergeCells>
  <conditionalFormatting sqref="I8:I193">
    <cfRule type="expression" dxfId="1" priority="2">
      <formula>I8="Yes"</formula>
    </cfRule>
  </conditionalFormatting>
  <conditionalFormatting sqref="G8:H193">
    <cfRule type="expression" dxfId="0" priority="3">
      <formula>$I8="Yes"</formula>
    </cfRule>
  </conditionalFormatting>
  <dataValidations count="1">
    <dataValidation type="list" sqref="I9:I20 I22:I83 I85:I123 I125:I164 I166:I183 I185:I192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Tracker</vt:lpstr>
      <vt:lpstr>Checklist</vt:lpstr>
      <vt:lpstr>Checklist!Print_Titles</vt:lpstr>
      <vt:lpstr>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Morad Shafik Aly Ismail</cp:lastModifiedBy>
  <cp:revision>0</cp:revision>
  <dcterms:created xsi:type="dcterms:W3CDTF">2026-10-07T06:59:31Z</dcterms:created>
  <dcterms:modified xsi:type="dcterms:W3CDTF">2026-10-07T09:28:42Z</dcterms:modified>
  <dc:language>en-US</dc:language>
</cp:coreProperties>
</file>